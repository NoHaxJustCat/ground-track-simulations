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40" windowWidth="21735" windowHeight="11700"/>
  </bookViews>
  <sheets>
    <sheet name="Uplink" sheetId="4" r:id="rId1"/>
    <sheet name="Downlink - AX.25" sheetId="3" r:id="rId2"/>
    <sheet name="Front" sheetId="2" r:id="rId3"/>
  </sheets>
  <definedNames>
    <definedName name="gain">#REF!</definedName>
  </definedNames>
  <calcPr calcId="124519"/>
</workbook>
</file>

<file path=xl/calcChain.xml><?xml version="1.0" encoding="utf-8"?>
<calcChain xmlns="http://schemas.openxmlformats.org/spreadsheetml/2006/main">
  <c r="C27" i="4"/>
  <c r="C23"/>
  <c r="C25" s="1"/>
  <c r="C12"/>
  <c r="D11"/>
  <c r="E11" s="1"/>
  <c r="F11" s="1"/>
  <c r="G11" s="1"/>
  <c r="C9"/>
  <c r="T6"/>
  <c r="T14" s="1"/>
  <c r="T19" s="1"/>
  <c r="S6"/>
  <c r="S14" s="1"/>
  <c r="S19" s="1"/>
  <c r="R6"/>
  <c r="R14" s="1"/>
  <c r="R19" s="1"/>
  <c r="Q6"/>
  <c r="Q14" s="1"/>
  <c r="Q19" s="1"/>
  <c r="P6"/>
  <c r="P14" s="1"/>
  <c r="P19" s="1"/>
  <c r="O6"/>
  <c r="O14" s="1"/>
  <c r="O19" s="1"/>
  <c r="N6"/>
  <c r="N14" s="1"/>
  <c r="N19" s="1"/>
  <c r="M6"/>
  <c r="M14" s="1"/>
  <c r="M19" s="1"/>
  <c r="L6"/>
  <c r="L14" s="1"/>
  <c r="L19" s="1"/>
  <c r="K6"/>
  <c r="K14" s="1"/>
  <c r="K19" s="1"/>
  <c r="J6"/>
  <c r="J14" s="1"/>
  <c r="J19" s="1"/>
  <c r="I6"/>
  <c r="I14" s="1"/>
  <c r="I19" s="1"/>
  <c r="H6"/>
  <c r="H14" s="1"/>
  <c r="H19" s="1"/>
  <c r="G6"/>
  <c r="G14" s="1"/>
  <c r="G19" s="1"/>
  <c r="F6"/>
  <c r="F14" s="1"/>
  <c r="F19" s="1"/>
  <c r="E6"/>
  <c r="E14" s="1"/>
  <c r="E19" s="1"/>
  <c r="D6"/>
  <c r="D14" s="1"/>
  <c r="D19" s="1"/>
  <c r="C6"/>
  <c r="C14" s="1"/>
  <c r="C19" s="1"/>
  <c r="E27" i="3"/>
  <c r="F27" s="1"/>
  <c r="G27" s="1"/>
  <c r="H27" s="1"/>
  <c r="I27" s="1"/>
  <c r="J27" s="1"/>
  <c r="K27" s="1"/>
  <c r="L27" s="1"/>
  <c r="M27" s="1"/>
  <c r="N27" s="1"/>
  <c r="O27" s="1"/>
  <c r="P27" s="1"/>
  <c r="Q27" s="1"/>
  <c r="R27" s="1"/>
  <c r="S27" s="1"/>
  <c r="T27" s="1"/>
  <c r="D27"/>
  <c r="C23"/>
  <c r="C25" s="1"/>
  <c r="C12"/>
  <c r="C8"/>
  <c r="T6"/>
  <c r="T14" s="1"/>
  <c r="T19" s="1"/>
  <c r="S6"/>
  <c r="S14" s="1"/>
  <c r="S19" s="1"/>
  <c r="R6"/>
  <c r="R14" s="1"/>
  <c r="R19" s="1"/>
  <c r="Q6"/>
  <c r="Q14" s="1"/>
  <c r="Q19" s="1"/>
  <c r="P6"/>
  <c r="P14" s="1"/>
  <c r="P19" s="1"/>
  <c r="O6"/>
  <c r="O14" s="1"/>
  <c r="O19" s="1"/>
  <c r="N6"/>
  <c r="N14" s="1"/>
  <c r="N19" s="1"/>
  <c r="M6"/>
  <c r="M14" s="1"/>
  <c r="M19" s="1"/>
  <c r="L6"/>
  <c r="L14" s="1"/>
  <c r="L19" s="1"/>
  <c r="K6"/>
  <c r="K14" s="1"/>
  <c r="K19" s="1"/>
  <c r="J6"/>
  <c r="J14" s="1"/>
  <c r="J19" s="1"/>
  <c r="I6"/>
  <c r="I14" s="1"/>
  <c r="I19" s="1"/>
  <c r="H6"/>
  <c r="H14" s="1"/>
  <c r="H19" s="1"/>
  <c r="G6"/>
  <c r="G14" s="1"/>
  <c r="G19" s="1"/>
  <c r="F6"/>
  <c r="F14" s="1"/>
  <c r="F19" s="1"/>
  <c r="E6"/>
  <c r="E14" s="1"/>
  <c r="E19" s="1"/>
  <c r="D6"/>
  <c r="D14" s="1"/>
  <c r="D19" s="1"/>
  <c r="C6"/>
  <c r="C14" s="1"/>
  <c r="C19" s="1"/>
  <c r="C29" i="4" l="1"/>
  <c r="C31" s="1"/>
  <c r="C34" s="1"/>
  <c r="D12"/>
  <c r="D29" s="1"/>
  <c r="D31" s="1"/>
  <c r="D34" s="1"/>
  <c r="H11"/>
  <c r="G12"/>
  <c r="G29" s="1"/>
  <c r="G31" s="1"/>
  <c r="G34" s="1"/>
  <c r="T29" i="3"/>
  <c r="T31" s="1"/>
  <c r="T34" s="1"/>
  <c r="S29"/>
  <c r="S31" s="1"/>
  <c r="S34" s="1"/>
  <c r="R29"/>
  <c r="R31" s="1"/>
  <c r="R34" s="1"/>
  <c r="I29"/>
  <c r="I31" s="1"/>
  <c r="I34" s="1"/>
  <c r="Q29"/>
  <c r="Q31" s="1"/>
  <c r="Q34" s="1"/>
  <c r="J29"/>
  <c r="J31" s="1"/>
  <c r="J34" s="1"/>
  <c r="H29"/>
  <c r="H31" s="1"/>
  <c r="H34" s="1"/>
  <c r="P29"/>
  <c r="P31" s="1"/>
  <c r="P34" s="1"/>
  <c r="F12" i="4"/>
  <c r="F29" s="1"/>
  <c r="F31" s="1"/>
  <c r="F34" s="1"/>
  <c r="C29" i="3"/>
  <c r="C31" s="1"/>
  <c r="C34" s="1"/>
  <c r="K29"/>
  <c r="K31" s="1"/>
  <c r="K34" s="1"/>
  <c r="G29"/>
  <c r="G31" s="1"/>
  <c r="G34" s="1"/>
  <c r="O29"/>
  <c r="O31" s="1"/>
  <c r="O34" s="1"/>
  <c r="E12" i="4"/>
  <c r="E29" s="1"/>
  <c r="E31" s="1"/>
  <c r="E34" s="1"/>
  <c r="F29" i="3"/>
  <c r="F31" s="1"/>
  <c r="F34" s="1"/>
  <c r="N29"/>
  <c r="N31" s="1"/>
  <c r="N34" s="1"/>
  <c r="E29"/>
  <c r="E31" s="1"/>
  <c r="E34" s="1"/>
  <c r="M29"/>
  <c r="M31" s="1"/>
  <c r="M34" s="1"/>
  <c r="D29"/>
  <c r="D31" s="1"/>
  <c r="D34" s="1"/>
  <c r="L29"/>
  <c r="L31" s="1"/>
  <c r="L34" s="1"/>
  <c r="I11" i="4" l="1"/>
  <c r="H12"/>
  <c r="H29" s="1"/>
  <c r="H31" s="1"/>
  <c r="H34" s="1"/>
  <c r="J11" l="1"/>
  <c r="I12"/>
  <c r="I29" s="1"/>
  <c r="I31" s="1"/>
  <c r="I34" s="1"/>
  <c r="J12" l="1"/>
  <c r="J29" s="1"/>
  <c r="J31" s="1"/>
  <c r="J34" s="1"/>
  <c r="K11"/>
  <c r="L11" l="1"/>
  <c r="K12"/>
  <c r="K29" s="1"/>
  <c r="K31" s="1"/>
  <c r="K34" s="1"/>
  <c r="M11" l="1"/>
  <c r="L12"/>
  <c r="L29" s="1"/>
  <c r="L31" s="1"/>
  <c r="L34" s="1"/>
  <c r="N11" l="1"/>
  <c r="M12"/>
  <c r="M29" s="1"/>
  <c r="M31" s="1"/>
  <c r="M34" s="1"/>
  <c r="O11" l="1"/>
  <c r="N12"/>
  <c r="N29" s="1"/>
  <c r="N31" s="1"/>
  <c r="N34" s="1"/>
  <c r="P11" l="1"/>
  <c r="O12"/>
  <c r="O29" s="1"/>
  <c r="O31" s="1"/>
  <c r="O34" s="1"/>
  <c r="Q11" l="1"/>
  <c r="P12"/>
  <c r="P29" s="1"/>
  <c r="P31" s="1"/>
  <c r="P34" s="1"/>
  <c r="R11" l="1"/>
  <c r="Q12"/>
  <c r="Q29" s="1"/>
  <c r="Q31" s="1"/>
  <c r="Q34" s="1"/>
  <c r="R12" l="1"/>
  <c r="R29" s="1"/>
  <c r="R31" s="1"/>
  <c r="R34" s="1"/>
  <c r="S11"/>
  <c r="T11" l="1"/>
  <c r="T12" s="1"/>
  <c r="T29" s="1"/>
  <c r="T31" s="1"/>
  <c r="T34" s="1"/>
  <c r="S12"/>
  <c r="S29" s="1"/>
  <c r="S31" s="1"/>
  <c r="S34" s="1"/>
</calcChain>
</file>

<file path=xl/comments1.xml><?xml version="1.0" encoding="utf-8"?>
<comments xmlns="http://schemas.openxmlformats.org/spreadsheetml/2006/main">
  <authors>
    <author/>
  </authors>
  <commentList>
    <comment ref="C16" authorId="0">
      <text>
        <r>
          <rPr>
            <sz val="10"/>
            <color rgb="FF000000"/>
            <rFont val="Arial"/>
          </rPr>
          <t>Checked with Stefano's matlab functions attenuationDryAir.m and attenuationWetAir.m and taking downlink frequency of 0.4365 GHz, other parameters: t=15C, p=1023 hPa, ro=7.5 g/m3</t>
        </r>
      </text>
    </comment>
    <comment ref="C18" authorId="0">
      <text>
        <r>
          <rPr>
            <sz val="10"/>
            <color rgb="FF000000"/>
            <rFont val="Arial"/>
          </rPr>
          <t xml:space="preserve">Here we trust Stefano :)
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10" authorId="0">
      <text>
        <r>
          <rPr>
            <sz val="10"/>
            <color rgb="FF000000"/>
            <rFont val="Arial"/>
          </rPr>
          <t xml:space="preserve">Run this value by Stefano. This value was based on taking the VSWR of 1.3, calculating the reflected power in dB -&gt; 20 * log10((VSWR-1)/(VSWR+1)) = 0.074
</t>
        </r>
      </text>
    </comment>
    <comment ref="C16" authorId="0">
      <text>
        <r>
          <rPr>
            <sz val="10"/>
            <color rgb="FF000000"/>
            <rFont val="Arial"/>
          </rPr>
          <t>Checked with Stefano's matlab functions attenuationDryAir.m and attenuationWetAir.m and taking downlink frequency of 0.4365 GHz, other parameters: t=15C, p=1023 hPa, ro=7.5 g/m3</t>
        </r>
      </text>
    </comment>
    <comment ref="C18" authorId="0">
      <text>
        <r>
          <rPr>
            <sz val="10"/>
            <color rgb="FF000000"/>
            <rFont val="Arial"/>
          </rPr>
          <t xml:space="preserve">Here we trust Stefano :)
</t>
        </r>
      </text>
    </comment>
    <comment ref="C24" authorId="0">
      <text>
        <r>
          <rPr>
            <sz val="10"/>
            <color rgb="FF000000"/>
            <rFont val="Arial"/>
          </rPr>
          <t>How to determine this? Is it even necessary for link budget?</t>
        </r>
      </text>
    </comment>
  </commentList>
</comments>
</file>

<file path=xl/sharedStrings.xml><?xml version="1.0" encoding="utf-8"?>
<sst xmlns="http://schemas.openxmlformats.org/spreadsheetml/2006/main" count="79" uniqueCount="47">
  <si>
    <t>Downlink frequency</t>
  </si>
  <si>
    <t>MHz</t>
  </si>
  <si>
    <t>Orbit</t>
  </si>
  <si>
    <t>Height[km]</t>
  </si>
  <si>
    <t>Elevation Angle[deg]</t>
  </si>
  <si>
    <t>Slantrange[km]</t>
  </si>
  <si>
    <t>Satellite Parameters</t>
  </si>
  <si>
    <t>TX power [W]</t>
  </si>
  <si>
    <t>TX power [dBm]</t>
  </si>
  <si>
    <t>Total losses [dB]</t>
  </si>
  <si>
    <t>TX antenna gain [dBi]</t>
  </si>
  <si>
    <t>EIRP [dBm]</t>
  </si>
  <si>
    <t>Propagation Parameters</t>
  </si>
  <si>
    <t>Pathloss [dB]</t>
  </si>
  <si>
    <t>Polarization mismatch [dB]</t>
  </si>
  <si>
    <t>Wet Air Attenuation [dB]</t>
  </si>
  <si>
    <t>Dry Air Attenuation [dB]</t>
  </si>
  <si>
    <t>Ionosferic losses [dB]</t>
  </si>
  <si>
    <t>Modulation parameters</t>
  </si>
  <si>
    <t>Data rate [kbit/s]</t>
  </si>
  <si>
    <t>Code rate</t>
  </si>
  <si>
    <t>Symbol rate [kbit/s]</t>
  </si>
  <si>
    <t>Spectral efficiency [bit/s/Hz]</t>
  </si>
  <si>
    <t>Occupied bandwidth [kHz]</t>
  </si>
  <si>
    <t>Ground station parameters</t>
  </si>
  <si>
    <t>G/T [dB]</t>
  </si>
  <si>
    <t>Pointing loss [dB]</t>
  </si>
  <si>
    <t>Received signal power [dBm]</t>
  </si>
  <si>
    <t>Results</t>
  </si>
  <si>
    <t>Eb/N0 (dB)</t>
  </si>
  <si>
    <t>Margin [dB]</t>
  </si>
  <si>
    <t>SNR required</t>
  </si>
  <si>
    <t>Link margin (dB)</t>
  </si>
  <si>
    <t>Issue</t>
  </si>
  <si>
    <t>Comment</t>
  </si>
  <si>
    <t>1.0</t>
  </si>
  <si>
    <t>First version.</t>
  </si>
  <si>
    <t>Fix counting coding gain twice</t>
  </si>
  <si>
    <t>Name</t>
  </si>
  <si>
    <t>Written</t>
  </si>
  <si>
    <t>Stefano Speretta</t>
  </si>
  <si>
    <t>Checked</t>
  </si>
  <si>
    <t>Approved</t>
  </si>
  <si>
    <t>Revision:</t>
  </si>
  <si>
    <t>Uplink frequency</t>
  </si>
  <si>
    <t>GS Parameters</t>
  </si>
  <si>
    <t>Satellite parameters</t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</si>
</sst>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0"/>
      <color rgb="FF000000"/>
      <name val="Arial"/>
    </font>
    <font>
      <b/>
      <sz val="14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99"/>
        <bgColor rgb="FFFFCC99"/>
      </patternFill>
    </fill>
    <fill>
      <patternFill patternType="solid">
        <fgColor rgb="FFFACBFF"/>
        <bgColor rgb="FFFACBFF"/>
      </patternFill>
    </fill>
    <fill>
      <patternFill patternType="solid">
        <fgColor rgb="FFCCFFFF"/>
        <bgColor rgb="FFCCFFFF"/>
      </patternFill>
    </fill>
    <fill>
      <patternFill patternType="solid">
        <fgColor rgb="FFFCFFB6"/>
        <bgColor rgb="FFFCFFB6"/>
      </patternFill>
    </fill>
    <fill>
      <patternFill patternType="solid">
        <fgColor rgb="FFCCFFCC"/>
        <bgColor rgb="FFCCFFCC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rgb="FFCCFFCC"/>
      </patternFill>
    </fill>
  </fills>
  <borders count="44">
    <border>
      <left/>
      <right/>
      <top/>
      <bottom/>
      <diagonal/>
    </border>
    <border>
      <left/>
      <right style="medium">
        <color rgb="FF141312"/>
      </right>
      <top style="medium">
        <color rgb="FF141312"/>
      </top>
      <bottom style="medium">
        <color rgb="FF141312"/>
      </bottom>
      <diagonal/>
    </border>
    <border>
      <left style="hair">
        <color rgb="FF141312"/>
      </left>
      <right style="hair">
        <color rgb="FF141312"/>
      </right>
      <top/>
      <bottom style="hair">
        <color rgb="FF141312"/>
      </bottom>
      <diagonal/>
    </border>
    <border>
      <left style="hair">
        <color rgb="FF141312"/>
      </left>
      <right style="medium">
        <color rgb="FF141312"/>
      </right>
      <top/>
      <bottom style="hair">
        <color rgb="FF141312"/>
      </bottom>
      <diagonal/>
    </border>
    <border>
      <left/>
      <right style="hair">
        <color rgb="FF141312"/>
      </right>
      <top style="hair">
        <color rgb="FF141312"/>
      </top>
      <bottom/>
      <diagonal/>
    </border>
    <border>
      <left style="hair">
        <color rgb="FF141312"/>
      </left>
      <right style="hair">
        <color rgb="FF141312"/>
      </right>
      <top style="hair">
        <color rgb="FF141312"/>
      </top>
      <bottom/>
      <diagonal/>
    </border>
    <border>
      <left style="hair">
        <color rgb="FF141312"/>
      </left>
      <right style="medium">
        <color rgb="FF141312"/>
      </right>
      <top style="hair">
        <color rgb="FF141312"/>
      </top>
      <bottom/>
      <diagonal/>
    </border>
    <border>
      <left style="medium">
        <color rgb="FF141312"/>
      </left>
      <right style="medium">
        <color rgb="FF141312"/>
      </right>
      <top style="medium">
        <color rgb="FF141312"/>
      </top>
      <bottom style="medium">
        <color rgb="FF141312"/>
      </bottom>
      <diagonal/>
    </border>
    <border>
      <left/>
      <right style="hair">
        <color rgb="FF141312"/>
      </right>
      <top/>
      <bottom style="medium">
        <color rgb="FF141312"/>
      </bottom>
      <diagonal/>
    </border>
    <border>
      <left style="hair">
        <color rgb="FF141312"/>
      </left>
      <right style="hair">
        <color rgb="FF141312"/>
      </right>
      <top style="medium">
        <color rgb="FF141312"/>
      </top>
      <bottom style="medium">
        <color rgb="FF141312"/>
      </bottom>
      <diagonal/>
    </border>
    <border>
      <left style="hair">
        <color rgb="FF141312"/>
      </left>
      <right style="medium">
        <color rgb="FF141312"/>
      </right>
      <top style="medium">
        <color rgb="FF141312"/>
      </top>
      <bottom style="medium">
        <color rgb="FF141312"/>
      </bottom>
      <diagonal/>
    </border>
    <border>
      <left/>
      <right style="hair">
        <color rgb="FF141312"/>
      </right>
      <top/>
      <bottom style="hair">
        <color rgb="FF141312"/>
      </bottom>
      <diagonal/>
    </border>
    <border>
      <left style="hair">
        <color rgb="FF141312"/>
      </left>
      <right style="medium">
        <color rgb="FF141312"/>
      </right>
      <top style="hair">
        <color rgb="FF141312"/>
      </top>
      <bottom style="hair">
        <color rgb="FF141312"/>
      </bottom>
      <diagonal/>
    </border>
    <border>
      <left style="hair">
        <color rgb="FF141312"/>
      </left>
      <right style="hair">
        <color rgb="FF141312"/>
      </right>
      <top style="hair">
        <color rgb="FF141312"/>
      </top>
      <bottom style="hair">
        <color rgb="FF141312"/>
      </bottom>
      <diagonal/>
    </border>
    <border>
      <left/>
      <right style="hair">
        <color rgb="FF141312"/>
      </right>
      <top style="hair">
        <color rgb="FF141312"/>
      </top>
      <bottom style="hair">
        <color rgb="FF14131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141312"/>
      </top>
      <bottom style="medium">
        <color rgb="FF141312"/>
      </bottom>
      <diagonal/>
    </border>
    <border>
      <left/>
      <right/>
      <top/>
      <bottom style="medium">
        <color indexed="64"/>
      </bottom>
      <diagonal/>
    </border>
    <border>
      <left style="medium">
        <color rgb="FF141312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rgb="FF141312"/>
      </bottom>
      <diagonal/>
    </border>
    <border>
      <left style="medium">
        <color indexed="64"/>
      </left>
      <right style="medium">
        <color indexed="64"/>
      </right>
      <top style="hair">
        <color rgb="FF141312"/>
      </top>
      <bottom/>
      <diagonal/>
    </border>
    <border>
      <left style="medium">
        <color indexed="64"/>
      </left>
      <right style="medium">
        <color indexed="64"/>
      </right>
      <top style="medium">
        <color rgb="FF141312"/>
      </top>
      <bottom style="medium">
        <color rgb="FF141312"/>
      </bottom>
      <diagonal/>
    </border>
    <border>
      <left style="medium">
        <color indexed="64"/>
      </left>
      <right style="medium">
        <color indexed="64"/>
      </right>
      <top/>
      <bottom style="hair">
        <color rgb="FF141312"/>
      </bottom>
      <diagonal/>
    </border>
    <border>
      <left style="medium">
        <color indexed="64"/>
      </left>
      <right style="medium">
        <color indexed="64"/>
      </right>
      <top style="hair">
        <color rgb="FF141312"/>
      </top>
      <bottom style="hair">
        <color rgb="FF141312"/>
      </bottom>
      <diagonal/>
    </border>
    <border>
      <left style="medium">
        <color indexed="64"/>
      </left>
      <right style="medium">
        <color indexed="64"/>
      </right>
      <top style="medium">
        <color rgb="FF141312"/>
      </top>
      <bottom style="medium">
        <color indexed="64"/>
      </bottom>
      <diagonal/>
    </border>
    <border>
      <left style="medium">
        <color indexed="64"/>
      </left>
      <right style="hair">
        <color rgb="FF141312"/>
      </right>
      <top style="hair">
        <color rgb="FF141312"/>
      </top>
      <bottom style="medium">
        <color indexed="64"/>
      </bottom>
      <diagonal/>
    </border>
    <border>
      <left style="hair">
        <color rgb="FF141312"/>
      </left>
      <right style="hair">
        <color rgb="FF141312"/>
      </right>
      <top/>
      <bottom style="medium">
        <color rgb="FF141312"/>
      </bottom>
      <diagonal/>
    </border>
    <border>
      <left/>
      <right style="hair">
        <color rgb="FF141312"/>
      </right>
      <top style="hair">
        <color rgb="FF14131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rgb="FF141312"/>
      </top>
      <bottom/>
      <diagonal/>
    </border>
    <border>
      <left/>
      <right style="medium">
        <color indexed="64"/>
      </right>
      <top/>
      <bottom/>
      <diagonal/>
    </border>
    <border>
      <left style="hair">
        <color rgb="FF141312"/>
      </left>
      <right style="medium">
        <color indexed="64"/>
      </right>
      <top style="hair">
        <color rgb="FF141312"/>
      </top>
      <bottom style="hair">
        <color rgb="FF141312"/>
      </bottom>
      <diagonal/>
    </border>
    <border>
      <left/>
      <right style="medium">
        <color rgb="FF141312"/>
      </right>
      <top style="medium">
        <color rgb="FF141312"/>
      </top>
      <bottom style="hair">
        <color rgb="FF141312"/>
      </bottom>
      <diagonal/>
    </border>
    <border>
      <left/>
      <right style="medium">
        <color indexed="64"/>
      </right>
      <top style="hair">
        <color rgb="FF141312"/>
      </top>
      <bottom style="medium">
        <color rgb="FF141312"/>
      </bottom>
      <diagonal/>
    </border>
    <border>
      <left/>
      <right style="medium">
        <color rgb="FF141312"/>
      </right>
      <top/>
      <bottom style="hair">
        <color rgb="FF141312"/>
      </bottom>
      <diagonal/>
    </border>
    <border>
      <left/>
      <right style="medium">
        <color rgb="FF141312"/>
      </right>
      <top style="hair">
        <color rgb="FF141312"/>
      </top>
      <bottom style="hair">
        <color rgb="FF141312"/>
      </bottom>
      <diagonal/>
    </border>
    <border>
      <left/>
      <right style="medium">
        <color indexed="64"/>
      </right>
      <top style="hair">
        <color rgb="FF141312"/>
      </top>
      <bottom style="hair">
        <color rgb="FF141312"/>
      </bottom>
      <diagonal/>
    </border>
    <border>
      <left style="medium">
        <color rgb="FF141312"/>
      </left>
      <right style="medium">
        <color indexed="64"/>
      </right>
      <top style="medium">
        <color rgb="FF141312"/>
      </top>
      <bottom style="medium">
        <color rgb="FF141312"/>
      </bottom>
      <diagonal/>
    </border>
    <border>
      <left style="hair">
        <color rgb="FF141312"/>
      </left>
      <right style="medium">
        <color indexed="64"/>
      </right>
      <top style="hair">
        <color rgb="FF141312"/>
      </top>
      <bottom/>
      <diagonal/>
    </border>
  </borders>
  <cellStyleXfs count="1">
    <xf numFmtId="0" fontId="0" fillId="0" borderId="0"/>
  </cellStyleXfs>
  <cellXfs count="97">
    <xf numFmtId="0" fontId="0" fillId="0" borderId="0" xfId="0" applyFont="1" applyAlignment="1"/>
    <xf numFmtId="2" fontId="2" fillId="3" borderId="2" xfId="0" applyNumberFormat="1" applyFont="1" applyFill="1" applyBorder="1"/>
    <xf numFmtId="2" fontId="2" fillId="3" borderId="3" xfId="0" applyNumberFormat="1" applyFont="1" applyFill="1" applyBorder="1"/>
    <xf numFmtId="2" fontId="2" fillId="3" borderId="4" xfId="0" applyNumberFormat="1" applyFont="1" applyFill="1" applyBorder="1"/>
    <xf numFmtId="2" fontId="2" fillId="3" borderId="5" xfId="0" applyNumberFormat="1" applyFont="1" applyFill="1" applyBorder="1"/>
    <xf numFmtId="2" fontId="2" fillId="3" borderId="6" xfId="0" applyNumberFormat="1" applyFont="1" applyFill="1" applyBorder="1"/>
    <xf numFmtId="2" fontId="2" fillId="3" borderId="8" xfId="0" applyNumberFormat="1" applyFont="1" applyFill="1" applyBorder="1" applyAlignment="1">
      <alignment horizontal="right"/>
    </xf>
    <xf numFmtId="2" fontId="2" fillId="3" borderId="9" xfId="0" applyNumberFormat="1" applyFont="1" applyFill="1" applyBorder="1"/>
    <xf numFmtId="2" fontId="2" fillId="3" borderId="10" xfId="0" applyNumberFormat="1" applyFont="1" applyFill="1" applyBorder="1"/>
    <xf numFmtId="2" fontId="2" fillId="3" borderId="11" xfId="0" applyNumberFormat="1" applyFont="1" applyFill="1" applyBorder="1"/>
    <xf numFmtId="2" fontId="2" fillId="4" borderId="4" xfId="0" applyNumberFormat="1" applyFont="1" applyFill="1" applyBorder="1"/>
    <xf numFmtId="2" fontId="2" fillId="4" borderId="13" xfId="0" applyNumberFormat="1" applyFont="1" applyFill="1" applyBorder="1"/>
    <xf numFmtId="2" fontId="2" fillId="4" borderId="12" xfId="0" applyNumberFormat="1" applyFont="1" applyFill="1" applyBorder="1"/>
    <xf numFmtId="2" fontId="2" fillId="4" borderId="14" xfId="0" applyNumberFormat="1" applyFont="1" applyFill="1" applyBorder="1"/>
    <xf numFmtId="2" fontId="2" fillId="4" borderId="11" xfId="0" applyNumberFormat="1" applyFont="1" applyFill="1" applyBorder="1"/>
    <xf numFmtId="2" fontId="2" fillId="5" borderId="14" xfId="0" applyNumberFormat="1" applyFont="1" applyFill="1" applyBorder="1"/>
    <xf numFmtId="2" fontId="2" fillId="5" borderId="13" xfId="0" applyNumberFormat="1" applyFont="1" applyFill="1" applyBorder="1"/>
    <xf numFmtId="2" fontId="2" fillId="5" borderId="12" xfId="0" applyNumberFormat="1" applyFont="1" applyFill="1" applyBorder="1"/>
    <xf numFmtId="2" fontId="2" fillId="5" borderId="4" xfId="0" applyNumberFormat="1" applyFont="1" applyFill="1" applyBorder="1"/>
    <xf numFmtId="2" fontId="2" fillId="6" borderId="4" xfId="0" applyNumberFormat="1" applyFont="1" applyFill="1" applyBorder="1"/>
    <xf numFmtId="2" fontId="2" fillId="6" borderId="13" xfId="0" applyNumberFormat="1" applyFont="1" applyFill="1" applyBorder="1"/>
    <xf numFmtId="2" fontId="2" fillId="6" borderId="12" xfId="0" applyNumberFormat="1" applyFont="1" applyFill="1" applyBorder="1"/>
    <xf numFmtId="2" fontId="2" fillId="6" borderId="14" xfId="0" applyNumberFormat="1" applyFont="1" applyFill="1" applyBorder="1"/>
    <xf numFmtId="2" fontId="2" fillId="7" borderId="4" xfId="0" applyNumberFormat="1" applyFont="1" applyFill="1" applyBorder="1"/>
    <xf numFmtId="2" fontId="2" fillId="7" borderId="5" xfId="0" applyNumberFormat="1" applyFont="1" applyFill="1" applyBorder="1"/>
    <xf numFmtId="2" fontId="2" fillId="7" borderId="6" xfId="0" applyNumberFormat="1" applyFont="1" applyFill="1" applyBorder="1"/>
    <xf numFmtId="2" fontId="2" fillId="7" borderId="11" xfId="0" applyNumberFormat="1" applyFont="1" applyFill="1" applyBorder="1"/>
    <xf numFmtId="2" fontId="2" fillId="7" borderId="12" xfId="0" applyNumberFormat="1" applyFont="1" applyFill="1" applyBorder="1"/>
    <xf numFmtId="2" fontId="2" fillId="8" borderId="14" xfId="0" applyNumberFormat="1" applyFont="1" applyFill="1" applyBorder="1"/>
    <xf numFmtId="2" fontId="2" fillId="8" borderId="13" xfId="0" applyNumberFormat="1" applyFont="1" applyFill="1" applyBorder="1"/>
    <xf numFmtId="2" fontId="2" fillId="8" borderId="12" xfId="0" applyNumberFormat="1" applyFont="1" applyFill="1" applyBorder="1"/>
    <xf numFmtId="2" fontId="2" fillId="8" borderId="4" xfId="0" applyNumberFormat="1" applyFont="1" applyFill="1" applyBorder="1"/>
    <xf numFmtId="2" fontId="2" fillId="8" borderId="5" xfId="0" applyNumberFormat="1" applyFont="1" applyFill="1" applyBorder="1"/>
    <xf numFmtId="2" fontId="2" fillId="8" borderId="6" xfId="0" applyNumberFormat="1" applyFont="1" applyFill="1" applyBorder="1"/>
    <xf numFmtId="0" fontId="3" fillId="8" borderId="7" xfId="0" applyFont="1" applyFill="1" applyBorder="1"/>
    <xf numFmtId="2" fontId="3" fillId="8" borderId="9" xfId="0" applyNumberFormat="1" applyFont="1" applyFill="1" applyBorder="1"/>
    <xf numFmtId="2" fontId="3" fillId="8" borderId="10" xfId="0" applyNumberFormat="1" applyFont="1" applyFill="1" applyBorder="1"/>
    <xf numFmtId="0" fontId="3" fillId="9" borderId="15" xfId="0" applyFont="1" applyFill="1" applyBorder="1"/>
    <xf numFmtId="164" fontId="2" fillId="0" borderId="15" xfId="0" applyNumberFormat="1" applyFont="1" applyBorder="1"/>
    <xf numFmtId="0" fontId="2" fillId="0" borderId="15" xfId="0" applyFont="1" applyBorder="1"/>
    <xf numFmtId="2" fontId="2" fillId="4" borderId="5" xfId="0" applyNumberFormat="1" applyFont="1" applyFill="1" applyBorder="1"/>
    <xf numFmtId="2" fontId="2" fillId="4" borderId="6" xfId="0" applyNumberFormat="1" applyFont="1" applyFill="1" applyBorder="1"/>
    <xf numFmtId="2" fontId="2" fillId="4" borderId="2" xfId="0" applyNumberFormat="1" applyFont="1" applyFill="1" applyBorder="1"/>
    <xf numFmtId="2" fontId="2" fillId="4" borderId="3" xfId="0" applyNumberFormat="1" applyFont="1" applyFill="1" applyBorder="1"/>
    <xf numFmtId="2" fontId="2" fillId="7" borderId="13" xfId="0" applyNumberFormat="1" applyFont="1" applyFill="1" applyBorder="1"/>
    <xf numFmtId="2" fontId="2" fillId="7" borderId="14" xfId="0" applyNumberFormat="1" applyFont="1" applyFill="1" applyBorder="1"/>
    <xf numFmtId="0" fontId="0" fillId="10" borderId="0" xfId="0" applyFont="1" applyFill="1" applyAlignment="1"/>
    <xf numFmtId="0" fontId="1" fillId="3" borderId="22" xfId="0" applyFont="1" applyFill="1" applyBorder="1"/>
    <xf numFmtId="0" fontId="2" fillId="3" borderId="23" xfId="0" applyFont="1" applyFill="1" applyBorder="1"/>
    <xf numFmtId="0" fontId="3" fillId="3" borderId="24" xfId="0" applyFont="1" applyFill="1" applyBorder="1"/>
    <xf numFmtId="0" fontId="2" fillId="3" borderId="25" xfId="0" applyFont="1" applyFill="1" applyBorder="1"/>
    <xf numFmtId="0" fontId="3" fillId="4" borderId="26" xfId="0" applyFont="1" applyFill="1" applyBorder="1"/>
    <xf numFmtId="0" fontId="2" fillId="4" borderId="26" xfId="0" applyFont="1" applyFill="1" applyBorder="1"/>
    <xf numFmtId="0" fontId="3" fillId="5" borderId="26" xfId="0" applyFont="1" applyFill="1" applyBorder="1"/>
    <xf numFmtId="0" fontId="2" fillId="5" borderId="26" xfId="0" applyFont="1" applyFill="1" applyBorder="1"/>
    <xf numFmtId="0" fontId="3" fillId="6" borderId="26" xfId="0" applyFont="1" applyFill="1" applyBorder="1"/>
    <xf numFmtId="0" fontId="2" fillId="6" borderId="26" xfId="0" applyFont="1" applyFill="1" applyBorder="1"/>
    <xf numFmtId="2" fontId="3" fillId="7" borderId="26" xfId="0" applyNumberFormat="1" applyFont="1" applyFill="1" applyBorder="1"/>
    <xf numFmtId="2" fontId="2" fillId="7" borderId="26" xfId="0" applyNumberFormat="1" applyFont="1" applyFill="1" applyBorder="1"/>
    <xf numFmtId="0" fontId="3" fillId="8" borderId="26" xfId="0" applyFont="1" applyFill="1" applyBorder="1"/>
    <xf numFmtId="0" fontId="2" fillId="8" borderId="26" xfId="0" applyFont="1" applyFill="1" applyBorder="1"/>
    <xf numFmtId="0" fontId="2" fillId="8" borderId="23" xfId="0" applyFont="1" applyFill="1" applyBorder="1"/>
    <xf numFmtId="0" fontId="3" fillId="8" borderId="27" xfId="0" applyFont="1" applyFill="1" applyBorder="1"/>
    <xf numFmtId="2" fontId="3" fillId="8" borderId="29" xfId="0" applyNumberFormat="1" applyFont="1" applyFill="1" applyBorder="1"/>
    <xf numFmtId="2" fontId="2" fillId="8" borderId="28" xfId="0" applyNumberFormat="1" applyFont="1" applyFill="1" applyBorder="1"/>
    <xf numFmtId="2" fontId="2" fillId="8" borderId="30" xfId="0" applyNumberFormat="1" applyFont="1" applyFill="1" applyBorder="1"/>
    <xf numFmtId="2" fontId="2" fillId="2" borderId="19" xfId="0" applyNumberFormat="1" applyFont="1" applyFill="1" applyBorder="1"/>
    <xf numFmtId="0" fontId="1" fillId="2" borderId="18" xfId="0" applyFont="1" applyFill="1" applyBorder="1"/>
    <xf numFmtId="2" fontId="4" fillId="2" borderId="21" xfId="0" applyNumberFormat="1" applyFont="1" applyFill="1" applyBorder="1"/>
    <xf numFmtId="2" fontId="2" fillId="2" borderId="20" xfId="0" applyNumberFormat="1" applyFont="1" applyFill="1" applyBorder="1"/>
    <xf numFmtId="2" fontId="2" fillId="3" borderId="31" xfId="0" applyNumberFormat="1" applyFont="1" applyFill="1" applyBorder="1"/>
    <xf numFmtId="2" fontId="4" fillId="2" borderId="16" xfId="0" applyNumberFormat="1" applyFont="1" applyFill="1" applyBorder="1"/>
    <xf numFmtId="0" fontId="0" fillId="10" borderId="17" xfId="0" applyFont="1" applyFill="1" applyBorder="1" applyAlignment="1"/>
    <xf numFmtId="2" fontId="2" fillId="2" borderId="33" xfId="0" applyNumberFormat="1" applyFont="1" applyFill="1" applyBorder="1"/>
    <xf numFmtId="2" fontId="2" fillId="3" borderId="34" xfId="0" applyNumberFormat="1" applyFont="1" applyFill="1" applyBorder="1"/>
    <xf numFmtId="2" fontId="2" fillId="7" borderId="36" xfId="0" applyNumberFormat="1" applyFont="1" applyFill="1" applyBorder="1"/>
    <xf numFmtId="0" fontId="1" fillId="3" borderId="37" xfId="0" applyFont="1" applyFill="1" applyBorder="1"/>
    <xf numFmtId="0" fontId="2" fillId="3" borderId="38" xfId="0" applyFont="1" applyFill="1" applyBorder="1"/>
    <xf numFmtId="0" fontId="3" fillId="3" borderId="1" xfId="0" applyFont="1" applyFill="1" applyBorder="1"/>
    <xf numFmtId="0" fontId="2" fillId="3" borderId="39" xfId="0" applyFont="1" applyFill="1" applyBorder="1"/>
    <xf numFmtId="0" fontId="3" fillId="4" borderId="40" xfId="0" applyFont="1" applyFill="1" applyBorder="1"/>
    <xf numFmtId="0" fontId="2" fillId="4" borderId="41" xfId="0" applyFont="1" applyFill="1" applyBorder="1"/>
    <xf numFmtId="0" fontId="3" fillId="5" borderId="41" xfId="0" applyFont="1" applyFill="1" applyBorder="1"/>
    <xf numFmtId="0" fontId="2" fillId="5" borderId="41" xfId="0" applyFont="1" applyFill="1" applyBorder="1"/>
    <xf numFmtId="0" fontId="2" fillId="6" borderId="41" xfId="0" applyFont="1" applyFill="1" applyBorder="1"/>
    <xf numFmtId="0" fontId="3" fillId="7" borderId="41" xfId="0" applyFont="1" applyFill="1" applyBorder="1"/>
    <xf numFmtId="0" fontId="2" fillId="7" borderId="41" xfId="0" applyFont="1" applyFill="1" applyBorder="1"/>
    <xf numFmtId="2" fontId="2" fillId="7" borderId="41" xfId="0" applyNumberFormat="1" applyFont="1" applyFill="1" applyBorder="1"/>
    <xf numFmtId="0" fontId="3" fillId="8" borderId="41" xfId="0" applyFont="1" applyFill="1" applyBorder="1"/>
    <xf numFmtId="0" fontId="2" fillId="8" borderId="41" xfId="0" applyFont="1" applyFill="1" applyBorder="1"/>
    <xf numFmtId="0" fontId="2" fillId="8" borderId="38" xfId="0" applyFont="1" applyFill="1" applyBorder="1"/>
    <xf numFmtId="0" fontId="0" fillId="10" borderId="35" xfId="0" applyFont="1" applyFill="1" applyBorder="1" applyAlignment="1"/>
    <xf numFmtId="0" fontId="1" fillId="2" borderId="42" xfId="0" applyFont="1" applyFill="1" applyBorder="1"/>
    <xf numFmtId="2" fontId="4" fillId="3" borderId="32" xfId="0" applyNumberFormat="1" applyFont="1" applyFill="1" applyBorder="1"/>
    <xf numFmtId="2" fontId="2" fillId="4" borderId="43" xfId="0" applyNumberFormat="1" applyFont="1" applyFill="1" applyBorder="1"/>
    <xf numFmtId="2" fontId="2" fillId="7" borderId="43" xfId="0" applyNumberFormat="1" applyFont="1" applyFill="1" applyBorder="1"/>
    <xf numFmtId="2" fontId="3" fillId="11" borderId="8" xfId="0" applyNumberFormat="1" applyFont="1" applyFill="1" applyBorder="1"/>
  </cellXfs>
  <cellStyles count="1">
    <cellStyle name="Standaard" xfId="0" builtinId="0"/>
  </cellStyles>
  <dxfs count="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01"/>
  <sheetViews>
    <sheetView tabSelected="1" workbookViewId="0">
      <selection activeCell="B38" sqref="B38"/>
    </sheetView>
  </sheetViews>
  <sheetFormatPr defaultColWidth="14.42578125" defaultRowHeight="15" customHeight="1"/>
  <cols>
    <col min="1" max="1" width="7.5703125" customWidth="1"/>
    <col min="2" max="2" width="27.7109375" customWidth="1"/>
    <col min="3" max="3" width="11.5703125" customWidth="1"/>
    <col min="4" max="7" width="7.5703125" bestFit="1" customWidth="1"/>
    <col min="8" max="20" width="6.5703125" bestFit="1" customWidth="1"/>
    <col min="21" max="27" width="11.5703125" customWidth="1"/>
  </cols>
  <sheetData>
    <row r="1" spans="1:21" ht="15" customHeight="1" thickBot="1">
      <c r="A1" s="46"/>
      <c r="B1" s="46"/>
      <c r="C1" s="46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46"/>
    </row>
    <row r="2" spans="1:21" ht="18.75" thickBot="1">
      <c r="A2" s="46"/>
      <c r="B2" s="92" t="s">
        <v>44</v>
      </c>
      <c r="C2" s="71">
        <v>145.9</v>
      </c>
      <c r="D2" s="73" t="s">
        <v>1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9"/>
      <c r="U2" s="46"/>
    </row>
    <row r="3" spans="1:21" ht="18">
      <c r="A3" s="91"/>
      <c r="B3" s="76" t="s">
        <v>2</v>
      </c>
      <c r="C3" s="74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2"/>
      <c r="U3" s="46"/>
    </row>
    <row r="4" spans="1:21" ht="12.75" customHeight="1" thickBot="1">
      <c r="A4" s="91"/>
      <c r="B4" s="77" t="s">
        <v>3</v>
      </c>
      <c r="C4" s="93">
        <v>500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5"/>
      <c r="U4" s="46"/>
    </row>
    <row r="5" spans="1:21" ht="12.75" customHeight="1" thickBot="1">
      <c r="A5" s="91"/>
      <c r="B5" s="78" t="s">
        <v>4</v>
      </c>
      <c r="C5" s="6">
        <v>5</v>
      </c>
      <c r="D5" s="7">
        <v>10</v>
      </c>
      <c r="E5" s="7">
        <v>15</v>
      </c>
      <c r="F5" s="7">
        <v>20</v>
      </c>
      <c r="G5" s="7">
        <v>25</v>
      </c>
      <c r="H5" s="7">
        <v>30</v>
      </c>
      <c r="I5" s="7">
        <v>35</v>
      </c>
      <c r="J5" s="7">
        <v>40</v>
      </c>
      <c r="K5" s="7">
        <v>45</v>
      </c>
      <c r="L5" s="7">
        <v>50</v>
      </c>
      <c r="M5" s="7">
        <v>55</v>
      </c>
      <c r="N5" s="7">
        <v>60</v>
      </c>
      <c r="O5" s="7">
        <v>65</v>
      </c>
      <c r="P5" s="7">
        <v>70</v>
      </c>
      <c r="Q5" s="7">
        <v>75</v>
      </c>
      <c r="R5" s="7">
        <v>80</v>
      </c>
      <c r="S5" s="7">
        <v>85</v>
      </c>
      <c r="T5" s="8">
        <v>90</v>
      </c>
      <c r="U5" s="46"/>
    </row>
    <row r="6" spans="1:21" ht="12.75" customHeight="1">
      <c r="A6" s="91"/>
      <c r="B6" s="79" t="s">
        <v>5</v>
      </c>
      <c r="C6" s="9">
        <f t="shared" ref="C6:T6" si="0">(-2*6371000*SIN(C5*PI()/180)+SQRT(4*(6371000^2)*(SIN(C5*PI()/180)^2)-4*(6371000^2-(6371000+($C$4*1000))^2)))/2000</f>
        <v>2077.091666328085</v>
      </c>
      <c r="D6" s="1">
        <f t="shared" si="0"/>
        <v>1694.5672211546794</v>
      </c>
      <c r="E6" s="1">
        <f t="shared" si="0"/>
        <v>1407.2036480456754</v>
      </c>
      <c r="F6" s="1">
        <f t="shared" si="0"/>
        <v>1192.7971987277242</v>
      </c>
      <c r="G6" s="1">
        <f t="shared" si="0"/>
        <v>1031.8193067628504</v>
      </c>
      <c r="H6" s="1">
        <f t="shared" si="0"/>
        <v>909.42493826199461</v>
      </c>
      <c r="I6" s="1">
        <f t="shared" si="0"/>
        <v>815.03787797534517</v>
      </c>
      <c r="J6" s="1">
        <f t="shared" si="0"/>
        <v>741.29286628394198</v>
      </c>
      <c r="K6" s="1">
        <f t="shared" si="0"/>
        <v>683.06862014175761</v>
      </c>
      <c r="L6" s="1">
        <f t="shared" si="0"/>
        <v>636.77464810979552</v>
      </c>
      <c r="M6" s="1">
        <f t="shared" si="0"/>
        <v>599.86412811434263</v>
      </c>
      <c r="N6" s="1">
        <f t="shared" si="0"/>
        <v>570.50999974814147</v>
      </c>
      <c r="O6" s="1">
        <f t="shared" si="0"/>
        <v>547.39073710974208</v>
      </c>
      <c r="P6" s="1">
        <f t="shared" si="0"/>
        <v>529.54818247176706</v>
      </c>
      <c r="Q6" s="1">
        <f t="shared" si="0"/>
        <v>516.29275079711715</v>
      </c>
      <c r="R6" s="1">
        <f t="shared" si="0"/>
        <v>507.14022889118456</v>
      </c>
      <c r="S6" s="1">
        <f t="shared" si="0"/>
        <v>501.7702137558507</v>
      </c>
      <c r="T6" s="2">
        <f t="shared" si="0"/>
        <v>500</v>
      </c>
      <c r="U6" s="46"/>
    </row>
    <row r="7" spans="1:21" ht="12.75" customHeight="1">
      <c r="A7" s="91"/>
      <c r="B7" s="80" t="s">
        <v>45</v>
      </c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2"/>
      <c r="U7" s="46"/>
    </row>
    <row r="8" spans="1:21" ht="12.75" customHeight="1">
      <c r="A8" s="91"/>
      <c r="B8" s="81" t="s">
        <v>7</v>
      </c>
      <c r="C8" s="10">
        <v>100</v>
      </c>
      <c r="D8" s="13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2"/>
      <c r="U8" s="46"/>
    </row>
    <row r="9" spans="1:21" ht="12.75" customHeight="1">
      <c r="A9" s="91"/>
      <c r="B9" s="81" t="s">
        <v>8</v>
      </c>
      <c r="C9" s="10">
        <f>10*LOG10(C8*1000)</f>
        <v>50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2"/>
      <c r="U9" s="46"/>
    </row>
    <row r="10" spans="1:21" ht="12.75" customHeight="1">
      <c r="A10" s="91"/>
      <c r="B10" s="81" t="s">
        <v>9</v>
      </c>
      <c r="C10" s="10">
        <v>3</v>
      </c>
      <c r="D10" s="1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1"/>
      <c r="U10" s="46"/>
    </row>
    <row r="11" spans="1:21" ht="12.75" customHeight="1">
      <c r="A11" s="91"/>
      <c r="B11" s="81" t="s">
        <v>10</v>
      </c>
      <c r="C11" s="10">
        <v>12.3</v>
      </c>
      <c r="D11" s="10">
        <f t="shared" ref="D11:T11" si="1">C11</f>
        <v>12.3</v>
      </c>
      <c r="E11" s="10">
        <f t="shared" si="1"/>
        <v>12.3</v>
      </c>
      <c r="F11" s="10">
        <f t="shared" si="1"/>
        <v>12.3</v>
      </c>
      <c r="G11" s="10">
        <f t="shared" si="1"/>
        <v>12.3</v>
      </c>
      <c r="H11" s="10">
        <f t="shared" si="1"/>
        <v>12.3</v>
      </c>
      <c r="I11" s="10">
        <f t="shared" si="1"/>
        <v>12.3</v>
      </c>
      <c r="J11" s="10">
        <f t="shared" si="1"/>
        <v>12.3</v>
      </c>
      <c r="K11" s="10">
        <f t="shared" si="1"/>
        <v>12.3</v>
      </c>
      <c r="L11" s="10">
        <f t="shared" si="1"/>
        <v>12.3</v>
      </c>
      <c r="M11" s="10">
        <f t="shared" si="1"/>
        <v>12.3</v>
      </c>
      <c r="N11" s="10">
        <f t="shared" si="1"/>
        <v>12.3</v>
      </c>
      <c r="O11" s="10">
        <f t="shared" si="1"/>
        <v>12.3</v>
      </c>
      <c r="P11" s="10">
        <f t="shared" si="1"/>
        <v>12.3</v>
      </c>
      <c r="Q11" s="10">
        <f t="shared" si="1"/>
        <v>12.3</v>
      </c>
      <c r="R11" s="10">
        <f t="shared" si="1"/>
        <v>12.3</v>
      </c>
      <c r="S11" s="10">
        <f t="shared" si="1"/>
        <v>12.3</v>
      </c>
      <c r="T11" s="94">
        <f t="shared" si="1"/>
        <v>12.3</v>
      </c>
      <c r="U11" s="46"/>
    </row>
    <row r="12" spans="1:21" ht="12.75" customHeight="1">
      <c r="A12" s="91"/>
      <c r="B12" s="81" t="s">
        <v>11</v>
      </c>
      <c r="C12" s="14">
        <f t="shared" ref="C12:T12" si="2">$C9+C11-$C$10</f>
        <v>59.3</v>
      </c>
      <c r="D12" s="42">
        <f t="shared" si="2"/>
        <v>59.3</v>
      </c>
      <c r="E12" s="42">
        <f t="shared" si="2"/>
        <v>59.3</v>
      </c>
      <c r="F12" s="42">
        <f t="shared" si="2"/>
        <v>59.3</v>
      </c>
      <c r="G12" s="42">
        <f t="shared" si="2"/>
        <v>59.3</v>
      </c>
      <c r="H12" s="42">
        <f t="shared" si="2"/>
        <v>59.3</v>
      </c>
      <c r="I12" s="42">
        <f t="shared" si="2"/>
        <v>59.3</v>
      </c>
      <c r="J12" s="42">
        <f t="shared" si="2"/>
        <v>59.3</v>
      </c>
      <c r="K12" s="42">
        <f t="shared" si="2"/>
        <v>59.3</v>
      </c>
      <c r="L12" s="42">
        <f t="shared" si="2"/>
        <v>59.3</v>
      </c>
      <c r="M12" s="42">
        <f t="shared" si="2"/>
        <v>59.3</v>
      </c>
      <c r="N12" s="42">
        <f t="shared" si="2"/>
        <v>59.3</v>
      </c>
      <c r="O12" s="42">
        <f t="shared" si="2"/>
        <v>59.3</v>
      </c>
      <c r="P12" s="42">
        <f t="shared" si="2"/>
        <v>59.3</v>
      </c>
      <c r="Q12" s="42">
        <f t="shared" si="2"/>
        <v>59.3</v>
      </c>
      <c r="R12" s="42">
        <f t="shared" si="2"/>
        <v>59.3</v>
      </c>
      <c r="S12" s="42">
        <f t="shared" si="2"/>
        <v>59.3</v>
      </c>
      <c r="T12" s="43">
        <f t="shared" si="2"/>
        <v>59.3</v>
      </c>
      <c r="U12" s="46"/>
    </row>
    <row r="13" spans="1:21" ht="12.75" customHeight="1">
      <c r="A13" s="91"/>
      <c r="B13" s="82" t="s">
        <v>12</v>
      </c>
      <c r="C13" s="1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7"/>
      <c r="U13" s="46"/>
    </row>
    <row r="14" spans="1:21" ht="12.75" customHeight="1">
      <c r="A14" s="91"/>
      <c r="B14" s="83" t="s">
        <v>13</v>
      </c>
      <c r="C14" s="15">
        <f t="shared" ref="C14:T14" si="3">20*LOG10(4*3.141592654*10/3)+20*LOG10(C6)+20*LOG10($C$2)</f>
        <v>142.07199129039032</v>
      </c>
      <c r="D14" s="16">
        <f t="shared" si="3"/>
        <v>140.30405405266848</v>
      </c>
      <c r="E14" s="16">
        <f t="shared" si="3"/>
        <v>138.69001707143696</v>
      </c>
      <c r="F14" s="16">
        <f t="shared" si="3"/>
        <v>137.25421023524973</v>
      </c>
      <c r="G14" s="16">
        <f t="shared" si="3"/>
        <v>135.99495102229741</v>
      </c>
      <c r="H14" s="16">
        <f t="shared" si="3"/>
        <v>134.89821521027338</v>
      </c>
      <c r="I14" s="16">
        <f t="shared" si="3"/>
        <v>133.94643387625433</v>
      </c>
      <c r="J14" s="16">
        <f t="shared" si="3"/>
        <v>133.12267444058728</v>
      </c>
      <c r="K14" s="16">
        <f t="shared" si="3"/>
        <v>132.41216471513818</v>
      </c>
      <c r="L14" s="16">
        <f t="shared" si="3"/>
        <v>131.80259331546091</v>
      </c>
      <c r="M14" s="16">
        <f t="shared" si="3"/>
        <v>131.2839358629742</v>
      </c>
      <c r="N14" s="16">
        <f t="shared" si="3"/>
        <v>130.84814324544337</v>
      </c>
      <c r="O14" s="16">
        <f t="shared" si="3"/>
        <v>130.48882690603844</v>
      </c>
      <c r="P14" s="16">
        <f t="shared" si="3"/>
        <v>130.20098766064925</v>
      </c>
      <c r="Q14" s="16">
        <f t="shared" si="3"/>
        <v>129.98079856934658</v>
      </c>
      <c r="R14" s="16">
        <f t="shared" si="3"/>
        <v>129.82543927140611</v>
      </c>
      <c r="S14" s="16">
        <f t="shared" si="3"/>
        <v>129.73297556536428</v>
      </c>
      <c r="T14" s="17">
        <f t="shared" si="3"/>
        <v>129.70227811177222</v>
      </c>
      <c r="U14" s="46"/>
    </row>
    <row r="15" spans="1:21" ht="12.75" customHeight="1">
      <c r="A15" s="91"/>
      <c r="B15" s="83" t="s">
        <v>14</v>
      </c>
      <c r="C15" s="15">
        <v>3</v>
      </c>
      <c r="D15" s="15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7"/>
      <c r="U15" s="46"/>
    </row>
    <row r="16" spans="1:21" ht="12.75" customHeight="1">
      <c r="A16" s="91"/>
      <c r="B16" s="83" t="s">
        <v>15</v>
      </c>
      <c r="C16" s="15">
        <v>1.8470000000000001E-5</v>
      </c>
      <c r="D16" s="15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7"/>
      <c r="U16" s="46"/>
    </row>
    <row r="17" spans="1:21" ht="12.75" customHeight="1">
      <c r="A17" s="91"/>
      <c r="B17" s="83" t="s">
        <v>16</v>
      </c>
      <c r="C17" s="15">
        <v>1.3599999999999999E-2</v>
      </c>
      <c r="D17" s="15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7"/>
      <c r="U17" s="46"/>
    </row>
    <row r="18" spans="1:21" ht="12.75" customHeight="1">
      <c r="A18" s="91"/>
      <c r="B18" s="83" t="s">
        <v>17</v>
      </c>
      <c r="C18" s="15">
        <v>0.2</v>
      </c>
      <c r="D18" s="15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7"/>
      <c r="U18" s="46"/>
    </row>
    <row r="19" spans="1:21" ht="12.75" customHeight="1">
      <c r="A19" s="91"/>
      <c r="B19" s="83" t="s">
        <v>9</v>
      </c>
      <c r="C19" s="15">
        <f t="shared" ref="C19:T19" si="4">$C$15+$C$18+($C$16+$C$17)/SIN(C5/180*PI())+C14</f>
        <v>145.42824571001506</v>
      </c>
      <c r="D19" s="16">
        <f t="shared" si="4"/>
        <v>143.58247969573006</v>
      </c>
      <c r="E19" s="16">
        <f t="shared" si="4"/>
        <v>141.94263479898711</v>
      </c>
      <c r="F19" s="16">
        <f t="shared" si="4"/>
        <v>140.49402797775923</v>
      </c>
      <c r="G19" s="16">
        <f t="shared" si="4"/>
        <v>139.22717506757152</v>
      </c>
      <c r="H19" s="16">
        <f t="shared" si="4"/>
        <v>138.12545215027339</v>
      </c>
      <c r="I19" s="16">
        <f t="shared" si="4"/>
        <v>137.1701769541371</v>
      </c>
      <c r="J19" s="16">
        <f t="shared" si="4"/>
        <v>136.34386101885167</v>
      </c>
      <c r="K19" s="16">
        <f t="shared" si="4"/>
        <v>135.63142414011094</v>
      </c>
      <c r="L19" s="16">
        <f t="shared" si="4"/>
        <v>135.02037096546846</v>
      </c>
      <c r="M19" s="16">
        <f t="shared" si="4"/>
        <v>134.50056094508801</v>
      </c>
      <c r="N19" s="16">
        <f t="shared" si="4"/>
        <v>134.06386850008428</v>
      </c>
      <c r="O19" s="16">
        <f t="shared" si="4"/>
        <v>133.70385322512649</v>
      </c>
      <c r="P19" s="16">
        <f t="shared" si="4"/>
        <v>133.41548013371838</v>
      </c>
      <c r="Q19" s="16">
        <f t="shared" si="4"/>
        <v>133.19489744695122</v>
      </c>
      <c r="R19" s="16">
        <f t="shared" si="4"/>
        <v>133.03926782825727</v>
      </c>
      <c r="S19" s="16">
        <f t="shared" si="4"/>
        <v>132.94664605570728</v>
      </c>
      <c r="T19" s="17">
        <f t="shared" si="4"/>
        <v>132.91589658177222</v>
      </c>
      <c r="U19" s="46"/>
    </row>
    <row r="20" spans="1:21" ht="12.75" customHeight="1">
      <c r="A20" s="91"/>
      <c r="B20" s="84" t="s">
        <v>18</v>
      </c>
      <c r="C20" s="19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1"/>
      <c r="U20" s="46"/>
    </row>
    <row r="21" spans="1:21" ht="12.75" customHeight="1">
      <c r="A21" s="91"/>
      <c r="B21" s="84" t="s">
        <v>19</v>
      </c>
      <c r="C21" s="19">
        <v>2.4</v>
      </c>
      <c r="D21" s="22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1"/>
      <c r="U21" s="46"/>
    </row>
    <row r="22" spans="1:21" ht="12.75" customHeight="1">
      <c r="A22" s="91"/>
      <c r="B22" s="84" t="s">
        <v>20</v>
      </c>
      <c r="C22" s="19">
        <v>1</v>
      </c>
      <c r="D22" s="22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1"/>
      <c r="U22" s="46"/>
    </row>
    <row r="23" spans="1:21" ht="12.75" customHeight="1">
      <c r="A23" s="91"/>
      <c r="B23" s="84" t="s">
        <v>21</v>
      </c>
      <c r="C23" s="19">
        <f>C21/C22</f>
        <v>2.4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1"/>
      <c r="U23" s="46"/>
    </row>
    <row r="24" spans="1:21" ht="12.75" customHeight="1">
      <c r="A24" s="91"/>
      <c r="B24" s="84" t="s">
        <v>22</v>
      </c>
      <c r="C24" s="19">
        <v>1.1200000000000001</v>
      </c>
      <c r="D24" s="22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1"/>
      <c r="U24" s="46"/>
    </row>
    <row r="25" spans="1:21" ht="12.75" customHeight="1">
      <c r="A25" s="91"/>
      <c r="B25" s="84" t="s">
        <v>23</v>
      </c>
      <c r="C25" s="19">
        <f>C23/C24</f>
        <v>2.1428571428571428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1"/>
      <c r="U25" s="46"/>
    </row>
    <row r="26" spans="1:21" ht="12.75" customHeight="1">
      <c r="A26" s="91"/>
      <c r="B26" s="85" t="s">
        <v>46</v>
      </c>
      <c r="C26" s="23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27"/>
      <c r="U26" s="46"/>
    </row>
    <row r="27" spans="1:21" ht="12.75" customHeight="1">
      <c r="A27" s="91"/>
      <c r="B27" s="86" t="s">
        <v>25</v>
      </c>
      <c r="C27" s="23">
        <f>1-10*LOG10(2000)</f>
        <v>-32.010299956639813</v>
      </c>
      <c r="D27" s="45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27"/>
      <c r="U27" s="46"/>
    </row>
    <row r="28" spans="1:21" ht="12.75" customHeight="1">
      <c r="A28" s="91"/>
      <c r="B28" s="87" t="s">
        <v>26</v>
      </c>
      <c r="C28" s="23">
        <v>0.5</v>
      </c>
      <c r="D28" s="45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27"/>
      <c r="U28" s="46"/>
    </row>
    <row r="29" spans="1:21" ht="12.75" customHeight="1">
      <c r="A29" s="91"/>
      <c r="B29" s="86" t="s">
        <v>27</v>
      </c>
      <c r="C29" s="23">
        <f t="shared" ref="C29:T29" si="5">C12-C19-$C$28</f>
        <v>-86.628245710015065</v>
      </c>
      <c r="D29" s="26">
        <f t="shared" si="5"/>
        <v>-84.782479695730061</v>
      </c>
      <c r="E29" s="26">
        <f t="shared" si="5"/>
        <v>-83.142634798987118</v>
      </c>
      <c r="F29" s="26">
        <f t="shared" si="5"/>
        <v>-81.694027977759234</v>
      </c>
      <c r="G29" s="26">
        <f t="shared" si="5"/>
        <v>-80.427175067571525</v>
      </c>
      <c r="H29" s="26">
        <f t="shared" si="5"/>
        <v>-79.325452150273392</v>
      </c>
      <c r="I29" s="26">
        <f t="shared" si="5"/>
        <v>-78.370176954137108</v>
      </c>
      <c r="J29" s="26">
        <f t="shared" si="5"/>
        <v>-77.543861018851672</v>
      </c>
      <c r="K29" s="26">
        <f t="shared" si="5"/>
        <v>-76.83142414011094</v>
      </c>
      <c r="L29" s="26">
        <f t="shared" si="5"/>
        <v>-76.220370965468462</v>
      </c>
      <c r="M29" s="26">
        <f t="shared" si="5"/>
        <v>-75.700560945088014</v>
      </c>
      <c r="N29" s="26">
        <f t="shared" si="5"/>
        <v>-75.263868500084286</v>
      </c>
      <c r="O29" s="26">
        <f t="shared" si="5"/>
        <v>-74.903853225126497</v>
      </c>
      <c r="P29" s="26">
        <f t="shared" si="5"/>
        <v>-74.615480133718378</v>
      </c>
      <c r="Q29" s="26">
        <f t="shared" si="5"/>
        <v>-74.394897446951219</v>
      </c>
      <c r="R29" s="26">
        <f t="shared" si="5"/>
        <v>-74.239267828257269</v>
      </c>
      <c r="S29" s="26">
        <f t="shared" si="5"/>
        <v>-74.146646055707279</v>
      </c>
      <c r="T29" s="27">
        <f t="shared" si="5"/>
        <v>-74.115896581772219</v>
      </c>
      <c r="U29" s="46"/>
    </row>
    <row r="30" spans="1:21" ht="12.75" customHeight="1">
      <c r="A30" s="91"/>
      <c r="B30" s="88" t="s">
        <v>28</v>
      </c>
      <c r="C30" s="28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30"/>
      <c r="U30" s="46"/>
    </row>
    <row r="31" spans="1:21" ht="12.75" customHeight="1">
      <c r="A31" s="91"/>
      <c r="B31" s="89" t="s">
        <v>29</v>
      </c>
      <c r="C31" s="28">
        <f t="shared" ref="C31:T31" si="6">C29-30+$C$27-10*LOG10(1.3807E-23)-10*LOG10($C$23*1000)</f>
        <v>46.158348667721135</v>
      </c>
      <c r="D31" s="31">
        <f t="shared" si="6"/>
        <v>48.00411468200614</v>
      </c>
      <c r="E31" s="31">
        <f t="shared" si="6"/>
        <v>49.643959578749083</v>
      </c>
      <c r="F31" s="31">
        <f t="shared" si="6"/>
        <v>51.092566399976967</v>
      </c>
      <c r="G31" s="31">
        <f t="shared" si="6"/>
        <v>52.359419310164675</v>
      </c>
      <c r="H31" s="31">
        <f t="shared" si="6"/>
        <v>53.46114222746278</v>
      </c>
      <c r="I31" s="31">
        <f t="shared" si="6"/>
        <v>54.416417423599093</v>
      </c>
      <c r="J31" s="31">
        <f t="shared" si="6"/>
        <v>55.242733358884529</v>
      </c>
      <c r="K31" s="31">
        <f t="shared" si="6"/>
        <v>55.955170237625261</v>
      </c>
      <c r="L31" s="31">
        <f t="shared" si="6"/>
        <v>56.566223412267711</v>
      </c>
      <c r="M31" s="31">
        <f t="shared" si="6"/>
        <v>57.086033432648186</v>
      </c>
      <c r="N31" s="31">
        <f t="shared" si="6"/>
        <v>57.522725877651887</v>
      </c>
      <c r="O31" s="31">
        <f t="shared" si="6"/>
        <v>57.882741152609675</v>
      </c>
      <c r="P31" s="31">
        <f t="shared" si="6"/>
        <v>58.171114244017794</v>
      </c>
      <c r="Q31" s="31">
        <f t="shared" si="6"/>
        <v>58.391696930784953</v>
      </c>
      <c r="R31" s="31">
        <f t="shared" si="6"/>
        <v>58.547326549478932</v>
      </c>
      <c r="S31" s="31">
        <f t="shared" si="6"/>
        <v>58.639948322028921</v>
      </c>
      <c r="T31" s="30">
        <f t="shared" si="6"/>
        <v>58.670697795963953</v>
      </c>
      <c r="U31" s="46"/>
    </row>
    <row r="32" spans="1:21" ht="12.75" customHeight="1">
      <c r="A32" s="91"/>
      <c r="B32" s="89" t="s">
        <v>30</v>
      </c>
      <c r="C32" s="28">
        <v>3</v>
      </c>
      <c r="D32" s="28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30"/>
      <c r="U32" s="46"/>
    </row>
    <row r="33" spans="1:21" ht="12.75" customHeight="1" thickBot="1">
      <c r="A33" s="91"/>
      <c r="B33" s="90" t="s">
        <v>31</v>
      </c>
      <c r="C33" s="64">
        <v>12</v>
      </c>
      <c r="D33" s="31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3"/>
      <c r="U33" s="46"/>
    </row>
    <row r="34" spans="1:21" ht="12.75" customHeight="1" thickBot="1">
      <c r="A34" s="46"/>
      <c r="B34" s="34" t="s">
        <v>32</v>
      </c>
      <c r="C34" s="96">
        <f t="shared" ref="C34:T34" si="7">C31-$C$33-$C$32</f>
        <v>31.158348667721135</v>
      </c>
      <c r="D34" s="35">
        <f t="shared" si="7"/>
        <v>33.00411468200614</v>
      </c>
      <c r="E34" s="35">
        <f t="shared" si="7"/>
        <v>34.643959578749083</v>
      </c>
      <c r="F34" s="35">
        <f t="shared" si="7"/>
        <v>36.092566399976967</v>
      </c>
      <c r="G34" s="35">
        <f t="shared" si="7"/>
        <v>37.359419310164675</v>
      </c>
      <c r="H34" s="35">
        <f t="shared" si="7"/>
        <v>38.46114222746278</v>
      </c>
      <c r="I34" s="35">
        <f t="shared" si="7"/>
        <v>39.416417423599093</v>
      </c>
      <c r="J34" s="35">
        <f t="shared" si="7"/>
        <v>40.242733358884529</v>
      </c>
      <c r="K34" s="35">
        <f t="shared" si="7"/>
        <v>40.955170237625261</v>
      </c>
      <c r="L34" s="35">
        <f t="shared" si="7"/>
        <v>41.566223412267711</v>
      </c>
      <c r="M34" s="35">
        <f t="shared" si="7"/>
        <v>42.086033432648186</v>
      </c>
      <c r="N34" s="35">
        <f t="shared" si="7"/>
        <v>42.522725877651887</v>
      </c>
      <c r="O34" s="35">
        <f t="shared" si="7"/>
        <v>42.882741152609675</v>
      </c>
      <c r="P34" s="35">
        <f t="shared" si="7"/>
        <v>43.171114244017794</v>
      </c>
      <c r="Q34" s="35">
        <f t="shared" si="7"/>
        <v>43.391696930784953</v>
      </c>
      <c r="R34" s="35">
        <f t="shared" si="7"/>
        <v>43.547326549478932</v>
      </c>
      <c r="S34" s="35">
        <f t="shared" si="7"/>
        <v>43.639948322028921</v>
      </c>
      <c r="T34" s="36">
        <f t="shared" si="7"/>
        <v>43.670697795963953</v>
      </c>
      <c r="U34" s="46"/>
    </row>
    <row r="35" spans="1:21" ht="12.75" customHeight="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</row>
    <row r="36" spans="1:21" ht="12.75" customHeight="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</row>
    <row r="37" spans="1:21" ht="12.75" customHeight="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</row>
    <row r="38" spans="1:21" ht="12.75" customHeight="1"/>
    <row r="39" spans="1:21" ht="12.75" customHeight="1"/>
    <row r="40" spans="1:21" ht="12.75" customHeight="1"/>
    <row r="41" spans="1:21" ht="12.75" customHeight="1"/>
    <row r="42" spans="1:21" ht="12.75" customHeight="1"/>
    <row r="43" spans="1:21" ht="12.75" customHeight="1"/>
    <row r="44" spans="1:21" ht="12.75" customHeight="1"/>
    <row r="45" spans="1:21" ht="12.75" customHeight="1">
      <c r="J45" s="46"/>
      <c r="K45" s="46"/>
    </row>
    <row r="46" spans="1:21" ht="12.75" customHeight="1"/>
    <row r="47" spans="1:21" ht="12.75" customHeight="1"/>
    <row r="48" spans="1:21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conditionalFormatting sqref="C34:T34">
    <cfRule type="cellIs" dxfId="0" priority="1" stopIfTrue="1" operator="lessThan">
      <formula>0</formula>
    </cfRule>
  </conditionalFormatting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01"/>
  <sheetViews>
    <sheetView workbookViewId="0">
      <selection activeCell="B41" sqref="B41"/>
    </sheetView>
  </sheetViews>
  <sheetFormatPr defaultColWidth="14.42578125" defaultRowHeight="15" customHeight="1"/>
  <cols>
    <col min="1" max="1" width="6.5703125" customWidth="1"/>
    <col min="2" max="2" width="27.7109375" customWidth="1"/>
    <col min="3" max="3" width="10" customWidth="1"/>
    <col min="4" max="7" width="7.5703125" bestFit="1" customWidth="1"/>
    <col min="8" max="20" width="7.140625" bestFit="1" customWidth="1"/>
    <col min="21" max="27" width="11.5703125" customWidth="1"/>
  </cols>
  <sheetData>
    <row r="1" spans="1:21" ht="15" customHeight="1" thickBot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</row>
    <row r="2" spans="1:21" ht="18.75" thickBot="1">
      <c r="A2" s="46"/>
      <c r="B2" s="67" t="s">
        <v>0</v>
      </c>
      <c r="C2" s="68">
        <v>436.5</v>
      </c>
      <c r="D2" s="66" t="s">
        <v>1</v>
      </c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9"/>
      <c r="U2" s="46"/>
    </row>
    <row r="3" spans="1:21" ht="18">
      <c r="A3" s="46"/>
      <c r="B3" s="47" t="s">
        <v>2</v>
      </c>
      <c r="C3" s="70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2"/>
      <c r="U3" s="46"/>
    </row>
    <row r="4" spans="1:21" ht="12.75" customHeight="1" thickBot="1">
      <c r="A4" s="46"/>
      <c r="B4" s="48" t="s">
        <v>3</v>
      </c>
      <c r="C4" s="93">
        <v>500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5"/>
      <c r="U4" s="46"/>
    </row>
    <row r="5" spans="1:21" ht="12.75" customHeight="1" thickBot="1">
      <c r="A5" s="46"/>
      <c r="B5" s="49" t="s">
        <v>4</v>
      </c>
      <c r="C5" s="6">
        <v>5</v>
      </c>
      <c r="D5" s="7">
        <v>10</v>
      </c>
      <c r="E5" s="7">
        <v>15</v>
      </c>
      <c r="F5" s="7">
        <v>20</v>
      </c>
      <c r="G5" s="7">
        <v>25</v>
      </c>
      <c r="H5" s="7">
        <v>30</v>
      </c>
      <c r="I5" s="7">
        <v>35</v>
      </c>
      <c r="J5" s="7">
        <v>40</v>
      </c>
      <c r="K5" s="7">
        <v>45</v>
      </c>
      <c r="L5" s="7">
        <v>50</v>
      </c>
      <c r="M5" s="7">
        <v>55</v>
      </c>
      <c r="N5" s="7">
        <v>60</v>
      </c>
      <c r="O5" s="7">
        <v>65</v>
      </c>
      <c r="P5" s="7">
        <v>70</v>
      </c>
      <c r="Q5" s="7">
        <v>75</v>
      </c>
      <c r="R5" s="7">
        <v>80</v>
      </c>
      <c r="S5" s="7">
        <v>85</v>
      </c>
      <c r="T5" s="8">
        <v>90</v>
      </c>
      <c r="U5" s="46"/>
    </row>
    <row r="6" spans="1:21" ht="12.75" customHeight="1">
      <c r="A6" s="46"/>
      <c r="B6" s="50" t="s">
        <v>5</v>
      </c>
      <c r="C6" s="9">
        <f t="shared" ref="C6:T6" si="0">(-2*6371000*SIN(C5*PI()/180)+SQRT(4*(6371000^2)*(SIN(C5*PI()/180)^2)-4*(6371000^2-(6371000+($C$4*1000))^2)))/2000</f>
        <v>2077.091666328085</v>
      </c>
      <c r="D6" s="1">
        <f t="shared" si="0"/>
        <v>1694.5672211546794</v>
      </c>
      <c r="E6" s="1">
        <f t="shared" si="0"/>
        <v>1407.2036480456754</v>
      </c>
      <c r="F6" s="1">
        <f t="shared" si="0"/>
        <v>1192.7971987277242</v>
      </c>
      <c r="G6" s="1">
        <f t="shared" si="0"/>
        <v>1031.8193067628504</v>
      </c>
      <c r="H6" s="1">
        <f t="shared" si="0"/>
        <v>909.42493826199461</v>
      </c>
      <c r="I6" s="1">
        <f t="shared" si="0"/>
        <v>815.03787797534517</v>
      </c>
      <c r="J6" s="1">
        <f t="shared" si="0"/>
        <v>741.29286628394198</v>
      </c>
      <c r="K6" s="1">
        <f t="shared" si="0"/>
        <v>683.06862014175761</v>
      </c>
      <c r="L6" s="1">
        <f t="shared" si="0"/>
        <v>636.77464810979552</v>
      </c>
      <c r="M6" s="1">
        <f t="shared" si="0"/>
        <v>599.86412811434263</v>
      </c>
      <c r="N6" s="1">
        <f t="shared" si="0"/>
        <v>570.50999974814147</v>
      </c>
      <c r="O6" s="1">
        <f t="shared" si="0"/>
        <v>547.39073710974208</v>
      </c>
      <c r="P6" s="1">
        <f t="shared" si="0"/>
        <v>529.54818247176706</v>
      </c>
      <c r="Q6" s="1">
        <f t="shared" si="0"/>
        <v>516.29275079711715</v>
      </c>
      <c r="R6" s="1">
        <f t="shared" si="0"/>
        <v>507.14022889118456</v>
      </c>
      <c r="S6" s="1">
        <f t="shared" si="0"/>
        <v>501.7702137558507</v>
      </c>
      <c r="T6" s="2">
        <f t="shared" si="0"/>
        <v>500</v>
      </c>
      <c r="U6" s="46"/>
    </row>
    <row r="7" spans="1:21" ht="12.75" customHeight="1">
      <c r="A7" s="46"/>
      <c r="B7" s="51" t="s">
        <v>6</v>
      </c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2"/>
      <c r="U7" s="46"/>
    </row>
    <row r="8" spans="1:21" ht="12.75" customHeight="1">
      <c r="A8" s="46"/>
      <c r="B8" s="52" t="s">
        <v>7</v>
      </c>
      <c r="C8" s="10">
        <f>1/1000*10^(C9/10)</f>
        <v>0.50118723362727269</v>
      </c>
      <c r="D8" s="13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2"/>
      <c r="U8" s="46"/>
    </row>
    <row r="9" spans="1:21" ht="12.75" customHeight="1">
      <c r="A9" s="46"/>
      <c r="B9" s="52" t="s">
        <v>8</v>
      </c>
      <c r="C9" s="10">
        <v>27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2"/>
      <c r="U9" s="46"/>
    </row>
    <row r="10" spans="1:21" ht="12.75" customHeight="1">
      <c r="A10" s="46"/>
      <c r="B10" s="52" t="s">
        <v>9</v>
      </c>
      <c r="C10" s="10">
        <v>0.5</v>
      </c>
      <c r="D10" s="13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2"/>
      <c r="U10" s="46"/>
    </row>
    <row r="11" spans="1:21" ht="12.75" customHeight="1">
      <c r="A11" s="46"/>
      <c r="B11" s="52" t="s">
        <v>10</v>
      </c>
      <c r="C11" s="10">
        <v>-5</v>
      </c>
      <c r="D11" s="13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2"/>
      <c r="U11" s="46"/>
    </row>
    <row r="12" spans="1:21" ht="12.75" customHeight="1">
      <c r="A12" s="46"/>
      <c r="B12" s="52" t="s">
        <v>11</v>
      </c>
      <c r="C12" s="10">
        <f>$C9+$C$11-$C$10</f>
        <v>21.5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2"/>
      <c r="U12" s="46"/>
    </row>
    <row r="13" spans="1:21" ht="12.75" customHeight="1">
      <c r="A13" s="46"/>
      <c r="B13" s="53" t="s">
        <v>12</v>
      </c>
      <c r="C13" s="1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7"/>
      <c r="U13" s="46"/>
    </row>
    <row r="14" spans="1:21" ht="12.75" customHeight="1">
      <c r="A14" s="46"/>
      <c r="B14" s="54" t="s">
        <v>13</v>
      </c>
      <c r="C14" s="18">
        <f t="shared" ref="C14:T14" si="1">20*LOG10(4*3.141592654*10/3)+20*LOG10(C6)+20*LOG10($C$2)</f>
        <v>151.59057041335305</v>
      </c>
      <c r="D14" s="16">
        <f t="shared" si="1"/>
        <v>149.82263317563124</v>
      </c>
      <c r="E14" s="16">
        <f t="shared" si="1"/>
        <v>148.20859619439969</v>
      </c>
      <c r="F14" s="16">
        <f t="shared" si="1"/>
        <v>146.77278935821249</v>
      </c>
      <c r="G14" s="16">
        <f t="shared" si="1"/>
        <v>145.51353014526015</v>
      </c>
      <c r="H14" s="16">
        <f t="shared" si="1"/>
        <v>144.41679433323614</v>
      </c>
      <c r="I14" s="16">
        <f t="shared" si="1"/>
        <v>143.46501299921707</v>
      </c>
      <c r="J14" s="16">
        <f t="shared" si="1"/>
        <v>142.64125356355001</v>
      </c>
      <c r="K14" s="16">
        <f t="shared" si="1"/>
        <v>141.93074383810091</v>
      </c>
      <c r="L14" s="16">
        <f t="shared" si="1"/>
        <v>141.32117243842364</v>
      </c>
      <c r="M14" s="16">
        <f t="shared" si="1"/>
        <v>140.80251498593694</v>
      </c>
      <c r="N14" s="16">
        <f t="shared" si="1"/>
        <v>140.36672236840613</v>
      </c>
      <c r="O14" s="16">
        <f t="shared" si="1"/>
        <v>140.00740602900117</v>
      </c>
      <c r="P14" s="16">
        <f t="shared" si="1"/>
        <v>139.71956678361198</v>
      </c>
      <c r="Q14" s="16">
        <f t="shared" si="1"/>
        <v>139.49937769230934</v>
      </c>
      <c r="R14" s="16">
        <f t="shared" si="1"/>
        <v>139.34401839436885</v>
      </c>
      <c r="S14" s="16">
        <f t="shared" si="1"/>
        <v>139.25155468832702</v>
      </c>
      <c r="T14" s="17">
        <f t="shared" si="1"/>
        <v>139.22085723473498</v>
      </c>
      <c r="U14" s="46"/>
    </row>
    <row r="15" spans="1:21" ht="12.75" customHeight="1">
      <c r="A15" s="46"/>
      <c r="B15" s="54" t="s">
        <v>14</v>
      </c>
      <c r="C15" s="18">
        <v>3</v>
      </c>
      <c r="D15" s="15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7"/>
      <c r="U15" s="46"/>
    </row>
    <row r="16" spans="1:21" ht="12.75" customHeight="1">
      <c r="A16" s="46"/>
      <c r="B16" s="54" t="s">
        <v>15</v>
      </c>
      <c r="C16" s="18">
        <v>1.8470000000000001E-5</v>
      </c>
      <c r="D16" s="15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7"/>
      <c r="U16" s="46"/>
    </row>
    <row r="17" spans="1:21" ht="12.75" customHeight="1">
      <c r="A17" s="46"/>
      <c r="B17" s="54" t="s">
        <v>16</v>
      </c>
      <c r="C17" s="18">
        <v>1.3599999999999999E-2</v>
      </c>
      <c r="D17" s="15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7"/>
      <c r="U17" s="46"/>
    </row>
    <row r="18" spans="1:21" ht="12.75" customHeight="1">
      <c r="A18" s="46"/>
      <c r="B18" s="54" t="s">
        <v>17</v>
      </c>
      <c r="C18" s="18">
        <v>0.2</v>
      </c>
      <c r="D18" s="15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7"/>
      <c r="U18" s="46"/>
    </row>
    <row r="19" spans="1:21" ht="12.75" customHeight="1">
      <c r="A19" s="46"/>
      <c r="B19" s="54" t="s">
        <v>9</v>
      </c>
      <c r="C19" s="18">
        <f t="shared" ref="C19:T19" si="2">$C$15+$C$18+($C$16+$C$17)/SIN(C5/180*PI())+C14</f>
        <v>154.9468248329778</v>
      </c>
      <c r="D19" s="16">
        <f t="shared" si="2"/>
        <v>153.10105881869282</v>
      </c>
      <c r="E19" s="16">
        <f t="shared" si="2"/>
        <v>151.46121392194985</v>
      </c>
      <c r="F19" s="16">
        <f t="shared" si="2"/>
        <v>150.01260710072199</v>
      </c>
      <c r="G19" s="16">
        <f t="shared" si="2"/>
        <v>148.74575419053426</v>
      </c>
      <c r="H19" s="16">
        <f t="shared" si="2"/>
        <v>147.64403127323615</v>
      </c>
      <c r="I19" s="16">
        <f t="shared" si="2"/>
        <v>146.68875607709984</v>
      </c>
      <c r="J19" s="16">
        <f t="shared" si="2"/>
        <v>145.8624401418144</v>
      </c>
      <c r="K19" s="16">
        <f t="shared" si="2"/>
        <v>145.15000326307367</v>
      </c>
      <c r="L19" s="16">
        <f t="shared" si="2"/>
        <v>144.53895008843119</v>
      </c>
      <c r="M19" s="16">
        <f t="shared" si="2"/>
        <v>144.01914006805075</v>
      </c>
      <c r="N19" s="16">
        <f t="shared" si="2"/>
        <v>143.58244762304705</v>
      </c>
      <c r="O19" s="16">
        <f t="shared" si="2"/>
        <v>143.22243234808923</v>
      </c>
      <c r="P19" s="16">
        <f t="shared" si="2"/>
        <v>142.93405925668111</v>
      </c>
      <c r="Q19" s="16">
        <f t="shared" si="2"/>
        <v>142.71347656991398</v>
      </c>
      <c r="R19" s="16">
        <f t="shared" si="2"/>
        <v>142.55784695122</v>
      </c>
      <c r="S19" s="16">
        <f t="shared" si="2"/>
        <v>142.46522517867001</v>
      </c>
      <c r="T19" s="17">
        <f t="shared" si="2"/>
        <v>142.43447570473498</v>
      </c>
      <c r="U19" s="46"/>
    </row>
    <row r="20" spans="1:21" ht="12.75" customHeight="1">
      <c r="A20" s="46"/>
      <c r="B20" s="55" t="s">
        <v>18</v>
      </c>
      <c r="C20" s="19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1"/>
      <c r="U20" s="46"/>
    </row>
    <row r="21" spans="1:21" ht="12.75" customHeight="1">
      <c r="A21" s="46"/>
      <c r="B21" s="56" t="s">
        <v>19</v>
      </c>
      <c r="C21" s="19">
        <v>9.6</v>
      </c>
      <c r="D21" s="22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1"/>
      <c r="U21" s="46"/>
    </row>
    <row r="22" spans="1:21" ht="12.75" customHeight="1">
      <c r="A22" s="46"/>
      <c r="B22" s="56" t="s">
        <v>20</v>
      </c>
      <c r="C22" s="19">
        <v>1</v>
      </c>
      <c r="D22" s="22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1"/>
      <c r="U22" s="46"/>
    </row>
    <row r="23" spans="1:21" ht="12.75" customHeight="1">
      <c r="A23" s="46"/>
      <c r="B23" s="56" t="s">
        <v>21</v>
      </c>
      <c r="C23" s="19">
        <f>C21/C22</f>
        <v>9.6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1"/>
      <c r="U23" s="46"/>
    </row>
    <row r="24" spans="1:21" ht="12.75" customHeight="1">
      <c r="A24" s="46"/>
      <c r="B24" s="56" t="s">
        <v>22</v>
      </c>
      <c r="C24" s="19">
        <v>1.3</v>
      </c>
      <c r="D24" s="22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1"/>
      <c r="U24" s="46"/>
    </row>
    <row r="25" spans="1:21" ht="12.75" customHeight="1">
      <c r="A25" s="46"/>
      <c r="B25" s="56" t="s">
        <v>23</v>
      </c>
      <c r="C25" s="19">
        <f>C23*C24</f>
        <v>12.48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1"/>
      <c r="U25" s="46"/>
    </row>
    <row r="26" spans="1:21" ht="12.75" customHeight="1">
      <c r="A26" s="46"/>
      <c r="B26" s="57" t="s">
        <v>24</v>
      </c>
      <c r="C26" s="23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5"/>
      <c r="U26" s="46"/>
    </row>
    <row r="27" spans="1:21" ht="12.75" customHeight="1">
      <c r="A27" s="46"/>
      <c r="B27" s="58" t="s">
        <v>25</v>
      </c>
      <c r="C27" s="23">
        <v>-8.5</v>
      </c>
      <c r="D27" s="23">
        <f t="shared" ref="D27:T27" si="3">C27</f>
        <v>-8.5</v>
      </c>
      <c r="E27" s="23">
        <f t="shared" si="3"/>
        <v>-8.5</v>
      </c>
      <c r="F27" s="23">
        <f t="shared" si="3"/>
        <v>-8.5</v>
      </c>
      <c r="G27" s="23">
        <f t="shared" si="3"/>
        <v>-8.5</v>
      </c>
      <c r="H27" s="23">
        <f t="shared" si="3"/>
        <v>-8.5</v>
      </c>
      <c r="I27" s="23">
        <f t="shared" si="3"/>
        <v>-8.5</v>
      </c>
      <c r="J27" s="23">
        <f t="shared" si="3"/>
        <v>-8.5</v>
      </c>
      <c r="K27" s="23">
        <f t="shared" si="3"/>
        <v>-8.5</v>
      </c>
      <c r="L27" s="23">
        <f t="shared" si="3"/>
        <v>-8.5</v>
      </c>
      <c r="M27" s="23">
        <f t="shared" si="3"/>
        <v>-8.5</v>
      </c>
      <c r="N27" s="23">
        <f t="shared" si="3"/>
        <v>-8.5</v>
      </c>
      <c r="O27" s="23">
        <f t="shared" si="3"/>
        <v>-8.5</v>
      </c>
      <c r="P27" s="23">
        <f t="shared" si="3"/>
        <v>-8.5</v>
      </c>
      <c r="Q27" s="23">
        <f t="shared" si="3"/>
        <v>-8.5</v>
      </c>
      <c r="R27" s="23">
        <f t="shared" si="3"/>
        <v>-8.5</v>
      </c>
      <c r="S27" s="23">
        <f t="shared" si="3"/>
        <v>-8.5</v>
      </c>
      <c r="T27" s="95">
        <f t="shared" si="3"/>
        <v>-8.5</v>
      </c>
      <c r="U27" s="46"/>
    </row>
    <row r="28" spans="1:21" ht="12.75" customHeight="1">
      <c r="A28" s="46"/>
      <c r="B28" s="58" t="s">
        <v>26</v>
      </c>
      <c r="C28" s="23">
        <v>0.1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95"/>
      <c r="U28" s="46"/>
    </row>
    <row r="29" spans="1:21" ht="12.75" customHeight="1">
      <c r="A29" s="46"/>
      <c r="B29" s="58" t="s">
        <v>27</v>
      </c>
      <c r="C29" s="26">
        <f t="shared" ref="C29:T29" si="4">$C$12-C19-$C$28</f>
        <v>-133.54682483297779</v>
      </c>
      <c r="D29" s="26">
        <f t="shared" si="4"/>
        <v>-131.70105881869281</v>
      </c>
      <c r="E29" s="26">
        <f t="shared" si="4"/>
        <v>-130.06121392194984</v>
      </c>
      <c r="F29" s="26">
        <f t="shared" si="4"/>
        <v>-128.61260710072199</v>
      </c>
      <c r="G29" s="26">
        <f t="shared" si="4"/>
        <v>-127.34575419053425</v>
      </c>
      <c r="H29" s="26">
        <f t="shared" si="4"/>
        <v>-126.24403127323615</v>
      </c>
      <c r="I29" s="26">
        <f t="shared" si="4"/>
        <v>-125.28875607709983</v>
      </c>
      <c r="J29" s="26">
        <f t="shared" si="4"/>
        <v>-124.4624401418144</v>
      </c>
      <c r="K29" s="26">
        <f t="shared" si="4"/>
        <v>-123.75000326307367</v>
      </c>
      <c r="L29" s="26">
        <f t="shared" si="4"/>
        <v>-123.13895008843119</v>
      </c>
      <c r="M29" s="26">
        <f t="shared" si="4"/>
        <v>-122.61914006805074</v>
      </c>
      <c r="N29" s="26">
        <f t="shared" si="4"/>
        <v>-122.18244762304704</v>
      </c>
      <c r="O29" s="26">
        <f t="shared" si="4"/>
        <v>-121.82243234808922</v>
      </c>
      <c r="P29" s="26">
        <f t="shared" si="4"/>
        <v>-121.5340592566811</v>
      </c>
      <c r="Q29" s="26">
        <f t="shared" si="4"/>
        <v>-121.31347656991397</v>
      </c>
      <c r="R29" s="26">
        <f t="shared" si="4"/>
        <v>-121.15784695121999</v>
      </c>
      <c r="S29" s="26">
        <f t="shared" si="4"/>
        <v>-121.06522517867</v>
      </c>
      <c r="T29" s="75">
        <f t="shared" si="4"/>
        <v>-121.03447570473497</v>
      </c>
      <c r="U29" s="46"/>
    </row>
    <row r="30" spans="1:21" ht="12.75" customHeight="1">
      <c r="A30" s="46"/>
      <c r="B30" s="59" t="s">
        <v>28</v>
      </c>
      <c r="C30" s="28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30"/>
      <c r="U30" s="46"/>
    </row>
    <row r="31" spans="1:21" ht="12.75" customHeight="1">
      <c r="A31" s="46"/>
      <c r="B31" s="60" t="s">
        <v>29</v>
      </c>
      <c r="C31" s="28">
        <f t="shared" ref="C31:T31" si="5">C29-30+C27-10*LOG10(1.3807E-23)-10*LOG10($C$23*1000)</f>
        <v>16.729469588118583</v>
      </c>
      <c r="D31" s="31">
        <f t="shared" si="5"/>
        <v>18.575235602403559</v>
      </c>
      <c r="E31" s="31">
        <f t="shared" si="5"/>
        <v>20.215080499146531</v>
      </c>
      <c r="F31" s="31">
        <f t="shared" si="5"/>
        <v>21.663687320374386</v>
      </c>
      <c r="G31" s="31">
        <f t="shared" si="5"/>
        <v>22.930540230562123</v>
      </c>
      <c r="H31" s="31">
        <f t="shared" si="5"/>
        <v>24.032263147860228</v>
      </c>
      <c r="I31" s="31">
        <f t="shared" si="5"/>
        <v>24.98753834399654</v>
      </c>
      <c r="J31" s="31">
        <f t="shared" si="5"/>
        <v>25.813854279281976</v>
      </c>
      <c r="K31" s="31">
        <f t="shared" si="5"/>
        <v>26.526291158022708</v>
      </c>
      <c r="L31" s="31">
        <f t="shared" si="5"/>
        <v>27.137344332665187</v>
      </c>
      <c r="M31" s="31">
        <f t="shared" si="5"/>
        <v>27.657154353045634</v>
      </c>
      <c r="N31" s="31">
        <f t="shared" si="5"/>
        <v>28.093846798049334</v>
      </c>
      <c r="O31" s="31">
        <f t="shared" si="5"/>
        <v>28.453862073007151</v>
      </c>
      <c r="P31" s="31">
        <f t="shared" si="5"/>
        <v>28.74223516441527</v>
      </c>
      <c r="Q31" s="31">
        <f t="shared" si="5"/>
        <v>28.9628178511824</v>
      </c>
      <c r="R31" s="31">
        <f t="shared" si="5"/>
        <v>29.118447469876379</v>
      </c>
      <c r="S31" s="31">
        <f t="shared" si="5"/>
        <v>29.211069242426369</v>
      </c>
      <c r="T31" s="30">
        <f t="shared" si="5"/>
        <v>29.241818716361401</v>
      </c>
      <c r="U31" s="46"/>
    </row>
    <row r="32" spans="1:21" ht="12.75" customHeight="1">
      <c r="A32" s="46"/>
      <c r="B32" s="60" t="s">
        <v>30</v>
      </c>
      <c r="C32" s="28">
        <v>3</v>
      </c>
      <c r="D32" s="28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30"/>
      <c r="U32" s="46"/>
    </row>
    <row r="33" spans="1:21" ht="12.75" customHeight="1" thickBot="1">
      <c r="A33" s="46"/>
      <c r="B33" s="61" t="s">
        <v>31</v>
      </c>
      <c r="C33" s="64">
        <v>10.4</v>
      </c>
      <c r="D33" s="65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3"/>
      <c r="U33" s="46"/>
    </row>
    <row r="34" spans="1:21" ht="12.75" customHeight="1" thickBot="1">
      <c r="A34" s="46"/>
      <c r="B34" s="62" t="s">
        <v>32</v>
      </c>
      <c r="C34" s="96">
        <f t="shared" ref="C34:T34" si="6">C31-$C$33-$C$32</f>
        <v>3.3294695881185827</v>
      </c>
      <c r="D34" s="63">
        <f t="shared" si="6"/>
        <v>5.1752356024035588</v>
      </c>
      <c r="E34" s="35">
        <f t="shared" si="6"/>
        <v>6.8150804991465304</v>
      </c>
      <c r="F34" s="35">
        <f t="shared" si="6"/>
        <v>8.2636873203743857</v>
      </c>
      <c r="G34" s="35">
        <f t="shared" si="6"/>
        <v>9.5305402305621225</v>
      </c>
      <c r="H34" s="35">
        <f t="shared" si="6"/>
        <v>10.632263147860227</v>
      </c>
      <c r="I34" s="35">
        <f t="shared" si="6"/>
        <v>11.58753834399654</v>
      </c>
      <c r="J34" s="35">
        <f t="shared" si="6"/>
        <v>12.413854279281976</v>
      </c>
      <c r="K34" s="35">
        <f t="shared" si="6"/>
        <v>13.12629115802271</v>
      </c>
      <c r="L34" s="35">
        <f t="shared" si="6"/>
        <v>13.737344332665188</v>
      </c>
      <c r="M34" s="35">
        <f t="shared" si="6"/>
        <v>14.257154353045635</v>
      </c>
      <c r="N34" s="35">
        <f t="shared" si="6"/>
        <v>14.693846798049336</v>
      </c>
      <c r="O34" s="35">
        <f t="shared" si="6"/>
        <v>15.053862073007153</v>
      </c>
      <c r="P34" s="35">
        <f t="shared" si="6"/>
        <v>15.342235164415271</v>
      </c>
      <c r="Q34" s="35">
        <f t="shared" si="6"/>
        <v>15.562817851182402</v>
      </c>
      <c r="R34" s="35">
        <f t="shared" si="6"/>
        <v>15.718447469876381</v>
      </c>
      <c r="S34" s="35">
        <f t="shared" si="6"/>
        <v>15.81106924242637</v>
      </c>
      <c r="T34" s="36">
        <f t="shared" si="6"/>
        <v>15.841818716361402</v>
      </c>
      <c r="U34" s="46"/>
    </row>
    <row r="35" spans="1:21" ht="12.75" customHeight="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</row>
    <row r="36" spans="1:21" ht="12.75" customHeight="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</row>
    <row r="37" spans="1:21" ht="12.75" customHeight="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</row>
    <row r="38" spans="1:21" ht="12.75" customHeight="1"/>
    <row r="39" spans="1:21" ht="12.75" customHeight="1"/>
    <row r="40" spans="1:21" ht="12.75" customHeight="1"/>
    <row r="41" spans="1:21" ht="12.75" customHeight="1"/>
    <row r="42" spans="1:21" ht="12.75" customHeight="1"/>
    <row r="43" spans="1:21" ht="12.75" customHeight="1"/>
    <row r="44" spans="1:21" ht="12.75" customHeight="1"/>
    <row r="45" spans="1:21" ht="12.75" customHeight="1"/>
    <row r="46" spans="1:21" ht="12.75" customHeight="1"/>
    <row r="47" spans="1:21" ht="12.75" customHeight="1"/>
    <row r="48" spans="1:21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conditionalFormatting sqref="C34:T34">
    <cfRule type="cellIs" dxfId="1" priority="1" stopIfTrue="1" operator="lessThan">
      <formula>0</formula>
    </cfRule>
  </conditionalFormatting>
  <pageMargins left="0.7" right="0.7" top="0.75" bottom="0.75" header="0" footer="0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00"/>
  <sheetViews>
    <sheetView workbookViewId="0"/>
  </sheetViews>
  <sheetFormatPr defaultColWidth="14.42578125" defaultRowHeight="15" customHeight="1"/>
  <cols>
    <col min="1" max="1" width="15" customWidth="1"/>
    <col min="2" max="2" width="23.28515625" customWidth="1"/>
    <col min="3" max="3" width="20.7109375" customWidth="1"/>
    <col min="4" max="4" width="12.140625" customWidth="1"/>
    <col min="5" max="5" width="21.140625" customWidth="1"/>
    <col min="6" max="26" width="11.42578125" customWidth="1"/>
  </cols>
  <sheetData>
    <row r="1" spans="1:5" ht="12.75" customHeight="1">
      <c r="A1" s="37" t="s">
        <v>33</v>
      </c>
      <c r="B1" s="37" t="s">
        <v>34</v>
      </c>
    </row>
    <row r="2" spans="1:5" ht="12.75" customHeight="1">
      <c r="A2" s="38" t="s">
        <v>35</v>
      </c>
      <c r="B2" s="39" t="s">
        <v>36</v>
      </c>
    </row>
    <row r="3" spans="1:5" ht="12.75" customHeight="1">
      <c r="A3" s="38">
        <v>1.1000000000000001</v>
      </c>
      <c r="B3" s="39" t="s">
        <v>37</v>
      </c>
    </row>
    <row r="4" spans="1:5" ht="12.75" customHeight="1">
      <c r="A4" s="38"/>
      <c r="B4" s="39"/>
    </row>
    <row r="5" spans="1:5" ht="12.75" customHeight="1">
      <c r="A5" s="38"/>
      <c r="B5" s="39"/>
      <c r="D5" s="37"/>
      <c r="E5" s="37" t="s">
        <v>38</v>
      </c>
    </row>
    <row r="6" spans="1:5" ht="12.75" customHeight="1">
      <c r="A6" s="38"/>
      <c r="B6" s="39"/>
      <c r="D6" s="37" t="s">
        <v>39</v>
      </c>
      <c r="E6" s="39" t="s">
        <v>40</v>
      </c>
    </row>
    <row r="7" spans="1:5" ht="12.75" customHeight="1">
      <c r="A7" s="38"/>
      <c r="B7" s="39"/>
      <c r="D7" s="37" t="s">
        <v>41</v>
      </c>
      <c r="E7" s="39"/>
    </row>
    <row r="8" spans="1:5" ht="12.75" customHeight="1">
      <c r="D8" s="37" t="s">
        <v>42</v>
      </c>
      <c r="E8" s="39"/>
    </row>
    <row r="9" spans="1:5" ht="12.75" customHeight="1"/>
    <row r="10" spans="1:5" ht="12.75" customHeight="1">
      <c r="D10" s="37" t="s">
        <v>43</v>
      </c>
      <c r="E10" s="38">
        <v>1.1000000000000001</v>
      </c>
    </row>
    <row r="11" spans="1:5" ht="12.75" customHeight="1"/>
    <row r="12" spans="1:5" ht="12.75" customHeight="1"/>
    <row r="13" spans="1:5" ht="12.75" customHeight="1"/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8749999999999998" right="0.78749999999999998" top="1.0527777777777778" bottom="1.0527777777777778" header="0" footer="0"/>
  <pageSetup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Uplink</vt:lpstr>
      <vt:lpstr>Downlink - AX.25</vt:lpstr>
      <vt:lpstr>Front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Main</cp:lastModifiedBy>
  <dcterms:modified xsi:type="dcterms:W3CDTF">2020-11-01T13:08:47Z</dcterms:modified>
</cp:coreProperties>
</file>